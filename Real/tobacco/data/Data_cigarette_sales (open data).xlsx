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junchoi/Library/CloudStorage/Dropbox/My Papers/With Prof Ming Yuan/MNAR completion/JASA second revision/MNAR_code_data/2. Experiment_tobacco/"/>
    </mc:Choice>
  </mc:AlternateContent>
  <xr:revisionPtr revIDLastSave="0" documentId="8_{627671C3-5D30-094B-8820-8A611CC92914}" xr6:coauthVersionLast="47" xr6:coauthVersionMax="47" xr10:uidLastSave="{00000000-0000-0000-0000-000000000000}"/>
  <bookViews>
    <workbookView xWindow="8900" yWindow="3280" windowWidth="32060" windowHeight="21300" xr2:uid="{A93BF312-2563-FC4A-9D58-03E9184B94E2}"/>
  </bookViews>
  <sheets>
    <sheet name="for matlab_ne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6" i="1" l="1"/>
  <c r="AM37" i="1" s="1"/>
  <c r="AL36" i="1"/>
  <c r="AL37" i="1" s="1"/>
  <c r="AK36" i="1"/>
  <c r="AK37" i="1" s="1"/>
  <c r="AJ36" i="1"/>
  <c r="AI36" i="1"/>
  <c r="AI37" i="1" s="1"/>
  <c r="AH36" i="1"/>
  <c r="AH37" i="1" s="1"/>
  <c r="AG36" i="1"/>
  <c r="AG37" i="1" s="1"/>
  <c r="AF36" i="1"/>
  <c r="AE36" i="1"/>
  <c r="AE37" i="1" s="1"/>
  <c r="AD36" i="1"/>
  <c r="AD37" i="1" s="1"/>
  <c r="AC36" i="1"/>
  <c r="AC37" i="1" s="1"/>
  <c r="AB36" i="1"/>
  <c r="AA36" i="1"/>
  <c r="AA37" i="1" s="1"/>
  <c r="Z36" i="1"/>
  <c r="Z37" i="1" s="1"/>
  <c r="Y36" i="1"/>
  <c r="Y37" i="1" s="1"/>
  <c r="X36" i="1"/>
  <c r="W36" i="1"/>
  <c r="W37" i="1" s="1"/>
  <c r="V36" i="1"/>
  <c r="V37" i="1" s="1"/>
  <c r="U36" i="1"/>
  <c r="U37" i="1" s="1"/>
  <c r="T36" i="1"/>
  <c r="T37" i="1" s="1"/>
  <c r="S36" i="1"/>
  <c r="S37" i="1" s="1"/>
  <c r="R36" i="1"/>
  <c r="R37" i="1" s="1"/>
  <c r="Q36" i="1"/>
  <c r="Q37" i="1" s="1"/>
  <c r="P36" i="1"/>
  <c r="P37" i="1" s="1"/>
  <c r="O36" i="1"/>
  <c r="O37" i="1" s="1"/>
  <c r="N36" i="1"/>
  <c r="N37" i="1" s="1"/>
  <c r="M36" i="1"/>
  <c r="M37" i="1" s="1"/>
  <c r="L36" i="1"/>
  <c r="L37" i="1" s="1"/>
  <c r="K36" i="1"/>
  <c r="K37" i="1" s="1"/>
  <c r="J36" i="1"/>
  <c r="J37" i="1" s="1"/>
  <c r="I36" i="1"/>
  <c r="I37" i="1" s="1"/>
  <c r="H36" i="1"/>
  <c r="H37" i="1" s="1"/>
  <c r="G36" i="1"/>
  <c r="G37" i="1" s="1"/>
  <c r="F36" i="1"/>
  <c r="F37" i="1" s="1"/>
  <c r="E36" i="1"/>
  <c r="E37" i="1" s="1"/>
  <c r="D36" i="1"/>
  <c r="D37" i="1" s="1"/>
  <c r="C36" i="1"/>
  <c r="C37" i="1" s="1"/>
  <c r="B36" i="1"/>
  <c r="B37" i="1" s="1"/>
  <c r="AM35" i="1"/>
  <c r="AL35" i="1"/>
  <c r="AK35" i="1"/>
  <c r="AJ35" i="1"/>
  <c r="AJ37" i="1" s="1"/>
  <c r="AI35" i="1"/>
  <c r="AH35" i="1"/>
  <c r="AG35" i="1"/>
  <c r="AF35" i="1"/>
  <c r="AF37" i="1" s="1"/>
  <c r="AE35" i="1"/>
  <c r="AD35" i="1"/>
  <c r="AC35" i="1"/>
  <c r="AB35" i="1"/>
  <c r="AB37" i="1" s="1"/>
  <c r="AA35" i="1"/>
  <c r="Z35" i="1"/>
  <c r="Y35" i="1"/>
  <c r="X35" i="1"/>
  <c r="X37" i="1" s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</calcChain>
</file>

<file path=xl/sharedStrings.xml><?xml version="1.0" encoding="utf-8"?>
<sst xmlns="http://schemas.openxmlformats.org/spreadsheetml/2006/main" count="81" uniqueCount="47">
  <si>
    <t>NH</t>
  </si>
  <si>
    <t>NV</t>
  </si>
  <si>
    <t>NC</t>
  </si>
  <si>
    <t>CO</t>
  </si>
  <si>
    <t>TX</t>
  </si>
  <si>
    <t>IL</t>
  </si>
  <si>
    <t>NM</t>
  </si>
  <si>
    <t>ID</t>
  </si>
  <si>
    <t>ND</t>
  </si>
  <si>
    <t>RI</t>
  </si>
  <si>
    <t>MT</t>
  </si>
  <si>
    <t>WY</t>
  </si>
  <si>
    <t>UT</t>
  </si>
  <si>
    <t>CT</t>
  </si>
  <si>
    <t>VT</t>
  </si>
  <si>
    <t>KS</t>
  </si>
  <si>
    <t>MN</t>
  </si>
  <si>
    <t>VA</t>
  </si>
  <si>
    <t>ME</t>
  </si>
  <si>
    <t>OK</t>
  </si>
  <si>
    <t>NE</t>
  </si>
  <si>
    <t>LA</t>
  </si>
  <si>
    <t>IA</t>
  </si>
  <si>
    <t>SD</t>
  </si>
  <si>
    <t>WI</t>
  </si>
  <si>
    <t>PA</t>
  </si>
  <si>
    <t>KY</t>
  </si>
  <si>
    <t>DE</t>
  </si>
  <si>
    <t>GA</t>
  </si>
  <si>
    <t>IN</t>
  </si>
  <si>
    <t>OH</t>
  </si>
  <si>
    <t>MS</t>
  </si>
  <si>
    <t>MO</t>
  </si>
  <si>
    <t>WV</t>
  </si>
  <si>
    <t>SC</t>
  </si>
  <si>
    <t>AL</t>
  </si>
  <si>
    <t>AR</t>
  </si>
  <si>
    <t>TN</t>
  </si>
  <si>
    <t>1970 - 1985</t>
  </si>
  <si>
    <t>1986 - 2000</t>
  </si>
  <si>
    <t>change</t>
  </si>
  <si>
    <t>Rank</t>
  </si>
  <si>
    <t>Group</t>
  </si>
  <si>
    <t>Good</t>
  </si>
  <si>
    <t>Mild</t>
  </si>
  <si>
    <t>Moderate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</si>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</sst>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DFB5-1A31-2B44-AE42-603237C74F79}">
  <dimension ref="A2:AM48"/>
  <sheetViews>
    <sheetView tabSelected="1" workbookViewId="0">
      <selection activeCell="D13" sqref="D13"/>
    </sheetView>
  </sheetViews>
  <sheetFormatPr baseColWidth="10" defaultRowHeight="16" x14ac:dyDescent="0.2"/>
  <cols>
    <col min="1" max="1" width="14" style="1" customWidth="1"/>
    <col min="2" max="39" width="10.83203125" style="1"/>
  </cols>
  <sheetData>
    <row r="2" spans="1:39" x14ac:dyDescent="0.2">
      <c r="B2" s="1" t="s">
        <v>0</v>
      </c>
      <c r="C2" s="1" t="s">
        <v>1</v>
      </c>
      <c r="D2" s="1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</row>
    <row r="3" spans="1:39" x14ac:dyDescent="0.2">
      <c r="A3" s="1">
        <v>1970</v>
      </c>
      <c r="B3" s="2">
        <v>265.7</v>
      </c>
      <c r="C3" s="2">
        <v>189.5</v>
      </c>
      <c r="D3" s="2">
        <v>172.4</v>
      </c>
      <c r="E3" s="5">
        <v>124.8</v>
      </c>
      <c r="F3" s="5">
        <v>106.4</v>
      </c>
      <c r="G3" s="5">
        <v>124.8</v>
      </c>
      <c r="H3" s="5">
        <v>90</v>
      </c>
      <c r="I3" s="5">
        <v>102.4</v>
      </c>
      <c r="J3" s="5">
        <v>93.8</v>
      </c>
      <c r="K3" s="5">
        <v>123.9</v>
      </c>
      <c r="L3" s="5">
        <v>111.2</v>
      </c>
      <c r="M3" s="5">
        <v>132.19999999999999</v>
      </c>
      <c r="N3" s="5">
        <v>65.5</v>
      </c>
      <c r="O3" s="2">
        <v>120</v>
      </c>
      <c r="P3" s="2">
        <v>122.6</v>
      </c>
      <c r="Q3" s="2">
        <v>114</v>
      </c>
      <c r="R3" s="2">
        <v>104.3</v>
      </c>
      <c r="S3" s="2">
        <v>124.3</v>
      </c>
      <c r="T3" s="2">
        <v>128.5</v>
      </c>
      <c r="U3" s="2">
        <v>108.4</v>
      </c>
      <c r="V3" s="2">
        <v>108.1</v>
      </c>
      <c r="W3" s="2">
        <v>115.9</v>
      </c>
      <c r="X3" s="2">
        <v>108.5</v>
      </c>
      <c r="Y3" s="2">
        <v>92.7</v>
      </c>
      <c r="Z3" s="2">
        <v>106.4</v>
      </c>
      <c r="AA3" s="2">
        <v>107.3</v>
      </c>
      <c r="AB3" s="2">
        <v>155.80000000000001</v>
      </c>
      <c r="AC3" s="2">
        <v>155</v>
      </c>
      <c r="AD3" s="2">
        <v>109.9</v>
      </c>
      <c r="AE3" s="2">
        <v>134.6</v>
      </c>
      <c r="AF3" s="2">
        <v>121.6</v>
      </c>
      <c r="AG3" s="2">
        <v>93.4</v>
      </c>
      <c r="AH3" s="2">
        <v>121.3</v>
      </c>
      <c r="AI3" s="2">
        <v>114.5</v>
      </c>
      <c r="AJ3" s="2">
        <v>103.6</v>
      </c>
      <c r="AK3" s="2">
        <v>89.8</v>
      </c>
      <c r="AL3" s="2">
        <v>100.3</v>
      </c>
      <c r="AM3" s="2">
        <v>99.8</v>
      </c>
    </row>
    <row r="4" spans="1:39" x14ac:dyDescent="0.2">
      <c r="A4" s="1">
        <v>1971</v>
      </c>
      <c r="B4" s="2">
        <v>278</v>
      </c>
      <c r="C4" s="2">
        <v>190.5</v>
      </c>
      <c r="D4" s="2">
        <v>187.6</v>
      </c>
      <c r="E4" s="2">
        <v>125.5</v>
      </c>
      <c r="F4" s="2">
        <v>108.9</v>
      </c>
      <c r="G4" s="2">
        <v>125.6</v>
      </c>
      <c r="H4" s="2">
        <v>92.6</v>
      </c>
      <c r="I4" s="2">
        <v>108.5</v>
      </c>
      <c r="J4" s="2">
        <v>98.5</v>
      </c>
      <c r="K4" s="2">
        <v>123.2</v>
      </c>
      <c r="L4" s="2">
        <v>115.6</v>
      </c>
      <c r="M4" s="2">
        <v>131.69999999999999</v>
      </c>
      <c r="N4" s="2">
        <v>67.7</v>
      </c>
      <c r="O4" s="2">
        <v>117.6</v>
      </c>
      <c r="P4" s="2">
        <v>124.4</v>
      </c>
      <c r="Q4" s="2">
        <v>102.8</v>
      </c>
      <c r="R4" s="2">
        <v>116.4</v>
      </c>
      <c r="S4" s="2">
        <v>128.4</v>
      </c>
      <c r="T4" s="2">
        <v>133.19999999999999</v>
      </c>
      <c r="U4" s="2">
        <v>115.4</v>
      </c>
      <c r="V4" s="2">
        <v>108.6</v>
      </c>
      <c r="W4" s="2">
        <v>119.8</v>
      </c>
      <c r="X4" s="2">
        <v>108.4</v>
      </c>
      <c r="Y4" s="2">
        <v>96.7</v>
      </c>
      <c r="Z4" s="2">
        <v>105.4</v>
      </c>
      <c r="AA4" s="2">
        <v>106.3</v>
      </c>
      <c r="AB4" s="2">
        <v>163.5</v>
      </c>
      <c r="AC4" s="2">
        <v>161.1</v>
      </c>
      <c r="AD4" s="2">
        <v>115.7</v>
      </c>
      <c r="AE4" s="2">
        <v>139.30000000000001</v>
      </c>
      <c r="AF4" s="2">
        <v>124.6</v>
      </c>
      <c r="AG4" s="2">
        <v>105.4</v>
      </c>
      <c r="AH4" s="2">
        <v>127.6</v>
      </c>
      <c r="AI4" s="2">
        <v>111.5</v>
      </c>
      <c r="AJ4" s="2">
        <v>115</v>
      </c>
      <c r="AK4" s="2">
        <v>95.4</v>
      </c>
      <c r="AL4" s="2">
        <v>104.1</v>
      </c>
      <c r="AM4" s="2">
        <v>106.3</v>
      </c>
    </row>
    <row r="5" spans="1:39" x14ac:dyDescent="0.2">
      <c r="A5" s="1">
        <v>1972</v>
      </c>
      <c r="B5" s="2">
        <v>296.2</v>
      </c>
      <c r="C5" s="2">
        <v>198.6</v>
      </c>
      <c r="D5" s="2">
        <v>214.1</v>
      </c>
      <c r="E5" s="2">
        <v>134.30000000000001</v>
      </c>
      <c r="F5" s="2">
        <v>108.6</v>
      </c>
      <c r="G5" s="2">
        <v>126.6</v>
      </c>
      <c r="H5" s="2">
        <v>99.3</v>
      </c>
      <c r="I5" s="2">
        <v>126.1</v>
      </c>
      <c r="J5" s="2">
        <v>103.8</v>
      </c>
      <c r="K5" s="2">
        <v>134.4</v>
      </c>
      <c r="L5" s="2">
        <v>122.2</v>
      </c>
      <c r="M5" s="2">
        <v>140</v>
      </c>
      <c r="N5" s="2">
        <v>71.3</v>
      </c>
      <c r="O5" s="2">
        <v>110.8</v>
      </c>
      <c r="P5" s="2">
        <v>138</v>
      </c>
      <c r="Q5" s="2">
        <v>111</v>
      </c>
      <c r="R5" s="2">
        <v>96.8</v>
      </c>
      <c r="S5" s="2">
        <v>137</v>
      </c>
      <c r="T5" s="2">
        <v>136.5</v>
      </c>
      <c r="U5" s="2">
        <v>121.7</v>
      </c>
      <c r="V5" s="2">
        <v>104.9</v>
      </c>
      <c r="W5" s="2">
        <v>125.3</v>
      </c>
      <c r="X5" s="2">
        <v>109.4</v>
      </c>
      <c r="Y5" s="2">
        <v>103</v>
      </c>
      <c r="Z5" s="2">
        <v>108.8</v>
      </c>
      <c r="AA5" s="2">
        <v>109</v>
      </c>
      <c r="AB5" s="2">
        <v>179.4</v>
      </c>
      <c r="AC5" s="2">
        <v>156.30000000000001</v>
      </c>
      <c r="AD5" s="2">
        <v>117</v>
      </c>
      <c r="AE5" s="2">
        <v>149.19999999999999</v>
      </c>
      <c r="AF5" s="2">
        <v>124.4</v>
      </c>
      <c r="AG5" s="2">
        <v>112.1</v>
      </c>
      <c r="AH5" s="2">
        <v>130</v>
      </c>
      <c r="AI5" s="2">
        <v>117.5</v>
      </c>
      <c r="AJ5" s="2">
        <v>118.7</v>
      </c>
      <c r="AK5" s="2">
        <v>101.1</v>
      </c>
      <c r="AL5" s="2">
        <v>103.9</v>
      </c>
      <c r="AM5" s="2">
        <v>111.5</v>
      </c>
    </row>
    <row r="6" spans="1:39" x14ac:dyDescent="0.2">
      <c r="A6" s="1">
        <v>1973</v>
      </c>
      <c r="B6" s="2">
        <v>279</v>
      </c>
      <c r="C6" s="2">
        <v>201.5</v>
      </c>
      <c r="D6" s="2">
        <v>226.5</v>
      </c>
      <c r="E6" s="2">
        <v>137.9</v>
      </c>
      <c r="F6" s="2">
        <v>110.4</v>
      </c>
      <c r="G6" s="2">
        <v>124.4</v>
      </c>
      <c r="H6" s="2">
        <v>98.9</v>
      </c>
      <c r="I6" s="2">
        <v>121.8</v>
      </c>
      <c r="J6" s="2">
        <v>108.7</v>
      </c>
      <c r="K6" s="2">
        <v>142</v>
      </c>
      <c r="L6" s="2">
        <v>119.9</v>
      </c>
      <c r="M6" s="2">
        <v>141.19999999999999</v>
      </c>
      <c r="N6" s="2">
        <v>72.7</v>
      </c>
      <c r="O6" s="2">
        <v>109.3</v>
      </c>
      <c r="P6" s="2">
        <v>146.80000000000001</v>
      </c>
      <c r="Q6" s="2">
        <v>115.2</v>
      </c>
      <c r="R6" s="2">
        <v>106.8</v>
      </c>
      <c r="S6" s="2">
        <v>143.1</v>
      </c>
      <c r="T6" s="2">
        <v>138</v>
      </c>
      <c r="U6" s="2">
        <v>124.1</v>
      </c>
      <c r="V6" s="2">
        <v>106.6</v>
      </c>
      <c r="W6" s="2">
        <v>126.7</v>
      </c>
      <c r="X6" s="2">
        <v>110.6</v>
      </c>
      <c r="Y6" s="2">
        <v>103.5</v>
      </c>
      <c r="Z6" s="2">
        <v>109.5</v>
      </c>
      <c r="AA6" s="2">
        <v>110.7</v>
      </c>
      <c r="AB6" s="2">
        <v>201.9</v>
      </c>
      <c r="AC6" s="2">
        <v>154.69999999999999</v>
      </c>
      <c r="AD6" s="2">
        <v>119.8</v>
      </c>
      <c r="AE6" s="2">
        <v>156</v>
      </c>
      <c r="AF6" s="2">
        <v>120.5</v>
      </c>
      <c r="AG6" s="2">
        <v>115</v>
      </c>
      <c r="AH6" s="2">
        <v>132.1</v>
      </c>
      <c r="AI6" s="2">
        <v>116.6</v>
      </c>
      <c r="AJ6" s="2">
        <v>125.5</v>
      </c>
      <c r="AK6" s="2">
        <v>102.9</v>
      </c>
      <c r="AL6" s="2">
        <v>108</v>
      </c>
      <c r="AM6" s="2">
        <v>109.7</v>
      </c>
    </row>
    <row r="7" spans="1:39" x14ac:dyDescent="0.2">
      <c r="A7" s="1">
        <v>1974</v>
      </c>
      <c r="B7" s="2">
        <v>269.8</v>
      </c>
      <c r="C7" s="2">
        <v>204.7</v>
      </c>
      <c r="D7" s="2">
        <v>227.3</v>
      </c>
      <c r="E7" s="2">
        <v>132.80000000000001</v>
      </c>
      <c r="F7" s="2">
        <v>114.7</v>
      </c>
      <c r="G7" s="2">
        <v>131.9</v>
      </c>
      <c r="H7" s="2">
        <v>100.3</v>
      </c>
      <c r="I7" s="2">
        <v>125.6</v>
      </c>
      <c r="J7" s="2">
        <v>110.5</v>
      </c>
      <c r="K7" s="2">
        <v>146.1</v>
      </c>
      <c r="L7" s="2">
        <v>121.9</v>
      </c>
      <c r="M7" s="2">
        <v>145.80000000000001</v>
      </c>
      <c r="N7" s="2">
        <v>75.599999999999994</v>
      </c>
      <c r="O7" s="2">
        <v>112.4</v>
      </c>
      <c r="P7" s="2">
        <v>151.80000000000001</v>
      </c>
      <c r="Q7" s="2">
        <v>118.6</v>
      </c>
      <c r="R7" s="2">
        <v>110.6</v>
      </c>
      <c r="S7" s="2">
        <v>149.6</v>
      </c>
      <c r="T7" s="2">
        <v>142.1</v>
      </c>
      <c r="U7" s="2">
        <v>130.5</v>
      </c>
      <c r="V7" s="2">
        <v>110.5</v>
      </c>
      <c r="W7" s="2">
        <v>129.9</v>
      </c>
      <c r="X7" s="2">
        <v>116.1</v>
      </c>
      <c r="Y7" s="2">
        <v>108.4</v>
      </c>
      <c r="Z7" s="2">
        <v>111.8</v>
      </c>
      <c r="AA7" s="2">
        <v>114.2</v>
      </c>
      <c r="AB7" s="2">
        <v>212.4</v>
      </c>
      <c r="AC7" s="2">
        <v>151.30000000000001</v>
      </c>
      <c r="AD7" s="2">
        <v>123.7</v>
      </c>
      <c r="AE7" s="2">
        <v>159.6</v>
      </c>
      <c r="AF7" s="2">
        <v>122.1</v>
      </c>
      <c r="AG7" s="2">
        <v>117.1</v>
      </c>
      <c r="AH7" s="2">
        <v>135.4</v>
      </c>
      <c r="AI7" s="2">
        <v>119.9</v>
      </c>
      <c r="AJ7" s="2">
        <v>129.69999999999999</v>
      </c>
      <c r="AK7" s="2">
        <v>108.2</v>
      </c>
      <c r="AL7" s="2">
        <v>109.7</v>
      </c>
      <c r="AM7" s="2">
        <v>114.8</v>
      </c>
    </row>
    <row r="8" spans="1:39" x14ac:dyDescent="0.2">
      <c r="A8" s="1">
        <v>1975</v>
      </c>
      <c r="B8" s="2">
        <v>269.10000000000002</v>
      </c>
      <c r="C8" s="2">
        <v>205.2</v>
      </c>
      <c r="D8" s="2">
        <v>226</v>
      </c>
      <c r="E8" s="2">
        <v>131</v>
      </c>
      <c r="F8" s="2">
        <v>116</v>
      </c>
      <c r="G8" s="2">
        <v>131.80000000000001</v>
      </c>
      <c r="H8" s="2">
        <v>103.1</v>
      </c>
      <c r="I8" s="2">
        <v>123.3</v>
      </c>
      <c r="J8" s="2">
        <v>117.9</v>
      </c>
      <c r="K8" s="2">
        <v>154.69999999999999</v>
      </c>
      <c r="L8" s="2">
        <v>123.7</v>
      </c>
      <c r="M8" s="2">
        <v>160.69999999999999</v>
      </c>
      <c r="N8" s="2">
        <v>75.8</v>
      </c>
      <c r="O8" s="2">
        <v>110.2</v>
      </c>
      <c r="P8" s="2">
        <v>155.5</v>
      </c>
      <c r="Q8" s="2">
        <v>123.4</v>
      </c>
      <c r="R8" s="2">
        <v>111.5</v>
      </c>
      <c r="S8" s="2">
        <v>152.69999999999999</v>
      </c>
      <c r="T8" s="2">
        <v>140.69999999999999</v>
      </c>
      <c r="U8" s="2">
        <v>132.9</v>
      </c>
      <c r="V8" s="2">
        <v>114.1</v>
      </c>
      <c r="W8" s="2">
        <v>133.6</v>
      </c>
      <c r="X8" s="2">
        <v>120.5</v>
      </c>
      <c r="Y8" s="2">
        <v>113.5</v>
      </c>
      <c r="Z8" s="2">
        <v>113.5</v>
      </c>
      <c r="AA8" s="2">
        <v>114.6</v>
      </c>
      <c r="AB8" s="2">
        <v>223</v>
      </c>
      <c r="AC8" s="2">
        <v>147.6</v>
      </c>
      <c r="AD8" s="2">
        <v>122.9</v>
      </c>
      <c r="AE8" s="2">
        <v>162.4</v>
      </c>
      <c r="AF8" s="2">
        <v>122.5</v>
      </c>
      <c r="AG8" s="2">
        <v>116.8</v>
      </c>
      <c r="AH8" s="2">
        <v>135.6</v>
      </c>
      <c r="AI8" s="2">
        <v>123.2</v>
      </c>
      <c r="AJ8" s="2">
        <v>130.5</v>
      </c>
      <c r="AK8" s="2">
        <v>111.7</v>
      </c>
      <c r="AL8" s="2">
        <v>114.8</v>
      </c>
      <c r="AM8" s="2">
        <v>117.4</v>
      </c>
    </row>
    <row r="9" spans="1:39" x14ac:dyDescent="0.2">
      <c r="A9" s="1">
        <v>1976</v>
      </c>
      <c r="B9" s="2">
        <v>290.5</v>
      </c>
      <c r="C9" s="2">
        <v>201.4</v>
      </c>
      <c r="D9" s="2">
        <v>230.2</v>
      </c>
      <c r="E9" s="2">
        <v>134.19999999999999</v>
      </c>
      <c r="F9" s="2">
        <v>121.4</v>
      </c>
      <c r="G9" s="2">
        <v>134.4</v>
      </c>
      <c r="H9" s="2">
        <v>102.4</v>
      </c>
      <c r="I9" s="2">
        <v>125.1</v>
      </c>
      <c r="J9" s="2">
        <v>125.4</v>
      </c>
      <c r="K9" s="2">
        <v>150.19999999999999</v>
      </c>
      <c r="L9" s="2">
        <v>124.9</v>
      </c>
      <c r="M9" s="2">
        <v>161.5</v>
      </c>
      <c r="N9" s="2">
        <v>77.900000000000006</v>
      </c>
      <c r="O9" s="2">
        <v>113.4</v>
      </c>
      <c r="P9" s="2">
        <v>171.1</v>
      </c>
      <c r="Q9" s="2">
        <v>127.7</v>
      </c>
      <c r="R9" s="2">
        <v>116.7</v>
      </c>
      <c r="S9" s="2">
        <v>158.1</v>
      </c>
      <c r="T9" s="2">
        <v>144.9</v>
      </c>
      <c r="U9" s="2">
        <v>138.6</v>
      </c>
      <c r="V9" s="2">
        <v>118.1</v>
      </c>
      <c r="W9" s="2">
        <v>139.6</v>
      </c>
      <c r="X9" s="2">
        <v>124.4</v>
      </c>
      <c r="Y9" s="2">
        <v>116.7</v>
      </c>
      <c r="Z9" s="2">
        <v>115.4</v>
      </c>
      <c r="AA9" s="2">
        <v>118.8</v>
      </c>
      <c r="AB9" s="2">
        <v>230.9</v>
      </c>
      <c r="AC9" s="2">
        <v>153</v>
      </c>
      <c r="AD9" s="2">
        <v>125.9</v>
      </c>
      <c r="AE9" s="2">
        <v>166.6</v>
      </c>
      <c r="AF9" s="2">
        <v>124.6</v>
      </c>
      <c r="AG9" s="2">
        <v>120.9</v>
      </c>
      <c r="AH9" s="2">
        <v>139.5</v>
      </c>
      <c r="AI9" s="2">
        <v>129.69999999999999</v>
      </c>
      <c r="AJ9" s="2">
        <v>136.80000000000001</v>
      </c>
      <c r="AK9" s="2">
        <v>116.2</v>
      </c>
      <c r="AL9" s="2">
        <v>119.1</v>
      </c>
      <c r="AM9" s="2">
        <v>121.7</v>
      </c>
    </row>
    <row r="10" spans="1:39" x14ac:dyDescent="0.2">
      <c r="A10" s="1">
        <v>1977</v>
      </c>
      <c r="B10" s="2">
        <v>278.8</v>
      </c>
      <c r="C10" s="2">
        <v>190.8</v>
      </c>
      <c r="D10" s="2">
        <v>217</v>
      </c>
      <c r="E10" s="2">
        <v>132</v>
      </c>
      <c r="F10" s="2">
        <v>124.2</v>
      </c>
      <c r="G10" s="2">
        <v>134</v>
      </c>
      <c r="H10" s="2">
        <v>102.4</v>
      </c>
      <c r="I10" s="2">
        <v>125</v>
      </c>
      <c r="J10" s="2">
        <v>122.2</v>
      </c>
      <c r="K10" s="2">
        <v>148.80000000000001</v>
      </c>
      <c r="L10" s="2">
        <v>127</v>
      </c>
      <c r="M10" s="2">
        <v>160.4</v>
      </c>
      <c r="N10" s="2">
        <v>78.900000000000006</v>
      </c>
      <c r="O10" s="2">
        <v>117.3</v>
      </c>
      <c r="P10" s="2">
        <v>169.4</v>
      </c>
      <c r="Q10" s="2">
        <v>127.9</v>
      </c>
      <c r="R10" s="2">
        <v>117.2</v>
      </c>
      <c r="S10" s="2">
        <v>157.69999999999999</v>
      </c>
      <c r="T10" s="2">
        <v>145.6</v>
      </c>
      <c r="U10" s="2">
        <v>140.4</v>
      </c>
      <c r="V10" s="2">
        <v>117.7</v>
      </c>
      <c r="W10" s="2">
        <v>140</v>
      </c>
      <c r="X10" s="2">
        <v>125.5</v>
      </c>
      <c r="Y10" s="2">
        <v>115.6</v>
      </c>
      <c r="Z10" s="2">
        <v>117.2</v>
      </c>
      <c r="AA10" s="2">
        <v>120.1</v>
      </c>
      <c r="AB10" s="2">
        <v>229.4</v>
      </c>
      <c r="AC10" s="2">
        <v>153.30000000000001</v>
      </c>
      <c r="AD10" s="2">
        <v>127.9</v>
      </c>
      <c r="AE10" s="2">
        <v>173</v>
      </c>
      <c r="AF10" s="2">
        <v>127.3</v>
      </c>
      <c r="AG10" s="2">
        <v>122.1</v>
      </c>
      <c r="AH10" s="2">
        <v>140.80000000000001</v>
      </c>
      <c r="AI10" s="2">
        <v>133.9</v>
      </c>
      <c r="AJ10" s="2">
        <v>137.19999999999999</v>
      </c>
      <c r="AK10" s="2">
        <v>117.1</v>
      </c>
      <c r="AL10" s="2">
        <v>122.6</v>
      </c>
      <c r="AM10" s="2">
        <v>124.6</v>
      </c>
    </row>
    <row r="11" spans="1:39" x14ac:dyDescent="0.2">
      <c r="A11" s="1">
        <v>1978</v>
      </c>
      <c r="B11" s="2">
        <v>269.60000000000002</v>
      </c>
      <c r="C11" s="2">
        <v>187</v>
      </c>
      <c r="D11" s="2">
        <v>205.5</v>
      </c>
      <c r="E11" s="2">
        <v>129.19999999999999</v>
      </c>
      <c r="F11" s="2">
        <v>126.6</v>
      </c>
      <c r="G11" s="2">
        <v>136.69999999999999</v>
      </c>
      <c r="H11" s="2">
        <v>103.1</v>
      </c>
      <c r="I11" s="2">
        <v>122.8</v>
      </c>
      <c r="J11" s="2">
        <v>121.9</v>
      </c>
      <c r="K11" s="2">
        <v>146.80000000000001</v>
      </c>
      <c r="L11" s="2">
        <v>127.2</v>
      </c>
      <c r="M11" s="2">
        <v>160.30000000000001</v>
      </c>
      <c r="N11" s="2">
        <v>79.599999999999994</v>
      </c>
      <c r="O11" s="2">
        <v>117.5</v>
      </c>
      <c r="P11" s="2">
        <v>162.4</v>
      </c>
      <c r="Q11" s="2">
        <v>127.1</v>
      </c>
      <c r="R11" s="2">
        <v>118.9</v>
      </c>
      <c r="S11" s="2">
        <v>155.9</v>
      </c>
      <c r="T11" s="2">
        <v>143.9</v>
      </c>
      <c r="U11" s="2">
        <v>143.6</v>
      </c>
      <c r="V11" s="2">
        <v>117.4</v>
      </c>
      <c r="W11" s="2">
        <v>142.69999999999999</v>
      </c>
      <c r="X11" s="2">
        <v>127.1</v>
      </c>
      <c r="Y11" s="2">
        <v>116.9</v>
      </c>
      <c r="Z11" s="2">
        <v>116.7</v>
      </c>
      <c r="AA11" s="2">
        <v>122.3</v>
      </c>
      <c r="AB11" s="2">
        <v>224.7</v>
      </c>
      <c r="AC11" s="2">
        <v>155.5</v>
      </c>
      <c r="AD11" s="2">
        <v>130.6</v>
      </c>
      <c r="AE11" s="2">
        <v>150.9</v>
      </c>
      <c r="AF11" s="2">
        <v>131.30000000000001</v>
      </c>
      <c r="AG11" s="2">
        <v>124.9</v>
      </c>
      <c r="AH11" s="2">
        <v>141.80000000000001</v>
      </c>
      <c r="AI11" s="2">
        <v>131.6</v>
      </c>
      <c r="AJ11" s="2">
        <v>140.4</v>
      </c>
      <c r="AK11" s="2">
        <v>123</v>
      </c>
      <c r="AL11" s="2">
        <v>127.3</v>
      </c>
      <c r="AM11" s="2">
        <v>127.3</v>
      </c>
    </row>
    <row r="12" spans="1:39" x14ac:dyDescent="0.2">
      <c r="A12" s="1">
        <v>1979</v>
      </c>
      <c r="B12" s="2">
        <v>254.6</v>
      </c>
      <c r="C12" s="2">
        <v>183.3</v>
      </c>
      <c r="D12" s="2">
        <v>197.3</v>
      </c>
      <c r="E12" s="2">
        <v>131.5</v>
      </c>
      <c r="F12" s="2">
        <v>126.4</v>
      </c>
      <c r="G12" s="2">
        <v>135.30000000000001</v>
      </c>
      <c r="H12" s="2">
        <v>101</v>
      </c>
      <c r="I12" s="2">
        <v>117.5</v>
      </c>
      <c r="J12" s="2">
        <v>121.3</v>
      </c>
      <c r="K12" s="2">
        <v>145.80000000000001</v>
      </c>
      <c r="L12" s="2">
        <v>120.3</v>
      </c>
      <c r="M12" s="2">
        <v>168.6</v>
      </c>
      <c r="N12" s="2">
        <v>79.099999999999994</v>
      </c>
      <c r="O12" s="2">
        <v>117.4</v>
      </c>
      <c r="P12" s="2">
        <v>160.9</v>
      </c>
      <c r="Q12" s="2">
        <v>126.4</v>
      </c>
      <c r="R12" s="2">
        <v>118.3</v>
      </c>
      <c r="S12" s="2">
        <v>151.80000000000001</v>
      </c>
      <c r="T12" s="2">
        <v>138.5</v>
      </c>
      <c r="U12" s="2">
        <v>141.6</v>
      </c>
      <c r="V12" s="2">
        <v>116.1</v>
      </c>
      <c r="W12" s="2">
        <v>140.1</v>
      </c>
      <c r="X12" s="2">
        <v>124.2</v>
      </c>
      <c r="Y12" s="2">
        <v>117.4</v>
      </c>
      <c r="Z12" s="2">
        <v>117.1</v>
      </c>
      <c r="AA12" s="2">
        <v>122.6</v>
      </c>
      <c r="AB12" s="2">
        <v>214.9</v>
      </c>
      <c r="AC12" s="2">
        <v>150.19999999999999</v>
      </c>
      <c r="AD12" s="2">
        <v>131</v>
      </c>
      <c r="AE12" s="2">
        <v>148.9</v>
      </c>
      <c r="AF12" s="2">
        <v>130.9</v>
      </c>
      <c r="AG12" s="2">
        <v>123.9</v>
      </c>
      <c r="AH12" s="2">
        <v>140.19999999999999</v>
      </c>
      <c r="AI12" s="2">
        <v>122.1</v>
      </c>
      <c r="AJ12" s="2">
        <v>135.69999999999999</v>
      </c>
      <c r="AK12" s="2">
        <v>121.4</v>
      </c>
      <c r="AL12" s="2">
        <v>126.5</v>
      </c>
      <c r="AM12" s="2">
        <v>127.2</v>
      </c>
    </row>
    <row r="13" spans="1:39" x14ac:dyDescent="0.2">
      <c r="A13" s="1">
        <v>1980</v>
      </c>
      <c r="B13" s="2">
        <v>247.8</v>
      </c>
      <c r="C13" s="2">
        <v>177.7</v>
      </c>
      <c r="D13" s="2">
        <v>187.8</v>
      </c>
      <c r="E13" s="2">
        <v>131</v>
      </c>
      <c r="F13" s="2">
        <v>129.69999999999999</v>
      </c>
      <c r="G13" s="2">
        <v>135.19999999999999</v>
      </c>
      <c r="H13" s="2">
        <v>102.7</v>
      </c>
      <c r="I13" s="2">
        <v>115.2</v>
      </c>
      <c r="J13" s="2">
        <v>123.7</v>
      </c>
      <c r="K13" s="2">
        <v>149.30000000000001</v>
      </c>
      <c r="L13" s="2">
        <v>122</v>
      </c>
      <c r="M13" s="2">
        <v>158.1</v>
      </c>
      <c r="N13" s="2">
        <v>74.8</v>
      </c>
      <c r="O13" s="2">
        <v>118</v>
      </c>
      <c r="P13" s="2">
        <v>161.6</v>
      </c>
      <c r="Q13" s="2">
        <v>127.1</v>
      </c>
      <c r="R13" s="2">
        <v>117.7</v>
      </c>
      <c r="S13" s="2">
        <v>148.9</v>
      </c>
      <c r="T13" s="2">
        <v>141.19999999999999</v>
      </c>
      <c r="U13" s="2">
        <v>141.6</v>
      </c>
      <c r="V13" s="2">
        <v>116.3</v>
      </c>
      <c r="W13" s="2">
        <v>143.80000000000001</v>
      </c>
      <c r="X13" s="2">
        <v>124.6</v>
      </c>
      <c r="Y13" s="2">
        <v>114.7</v>
      </c>
      <c r="Z13" s="2">
        <v>117.6</v>
      </c>
      <c r="AA13" s="2">
        <v>124</v>
      </c>
      <c r="AB13" s="2">
        <v>215.3</v>
      </c>
      <c r="AC13" s="2">
        <v>150.5</v>
      </c>
      <c r="AD13" s="2">
        <v>134</v>
      </c>
      <c r="AE13" s="2">
        <v>146.9</v>
      </c>
      <c r="AF13" s="2">
        <v>133.5</v>
      </c>
      <c r="AG13" s="2">
        <v>127</v>
      </c>
      <c r="AH13" s="2">
        <v>142.1</v>
      </c>
      <c r="AI13" s="2">
        <v>122.3</v>
      </c>
      <c r="AJ13" s="2">
        <v>138.30000000000001</v>
      </c>
      <c r="AK13" s="2">
        <v>123.2</v>
      </c>
      <c r="AL13" s="2">
        <v>131.80000000000001</v>
      </c>
      <c r="AM13" s="2">
        <v>130.4</v>
      </c>
    </row>
    <row r="14" spans="1:39" x14ac:dyDescent="0.2">
      <c r="A14" s="1">
        <v>1981</v>
      </c>
      <c r="B14" s="2">
        <v>245.4</v>
      </c>
      <c r="C14" s="2">
        <v>171.9</v>
      </c>
      <c r="D14" s="2">
        <v>179.3</v>
      </c>
      <c r="E14" s="2">
        <v>133.80000000000001</v>
      </c>
      <c r="F14" s="2">
        <v>129</v>
      </c>
      <c r="G14" s="2">
        <v>133</v>
      </c>
      <c r="H14" s="2">
        <v>103</v>
      </c>
      <c r="I14" s="2">
        <v>114.1</v>
      </c>
      <c r="J14" s="2">
        <v>125.7</v>
      </c>
      <c r="K14" s="2">
        <v>151.19999999999999</v>
      </c>
      <c r="L14" s="2">
        <v>121.1</v>
      </c>
      <c r="M14" s="2">
        <v>163.1</v>
      </c>
      <c r="N14" s="2">
        <v>77.599999999999994</v>
      </c>
      <c r="O14" s="2">
        <v>116.4</v>
      </c>
      <c r="P14" s="2">
        <v>163.80000000000001</v>
      </c>
      <c r="Q14" s="2">
        <v>132</v>
      </c>
      <c r="R14" s="2">
        <v>120.8</v>
      </c>
      <c r="S14" s="2">
        <v>149.9</v>
      </c>
      <c r="T14" s="2">
        <v>138.9</v>
      </c>
      <c r="U14" s="2">
        <v>143.69999999999999</v>
      </c>
      <c r="V14" s="2">
        <v>117</v>
      </c>
      <c r="W14" s="2">
        <v>144</v>
      </c>
      <c r="X14" s="2">
        <v>132.9</v>
      </c>
      <c r="Y14" s="2">
        <v>115.7</v>
      </c>
      <c r="Z14" s="2">
        <v>119.9</v>
      </c>
      <c r="AA14" s="2">
        <v>125.2</v>
      </c>
      <c r="AB14" s="2">
        <v>209.7</v>
      </c>
      <c r="AC14" s="2">
        <v>152.6</v>
      </c>
      <c r="AD14" s="2">
        <v>131.69999999999999</v>
      </c>
      <c r="AE14" s="2">
        <v>148.5</v>
      </c>
      <c r="AF14" s="2">
        <v>132.80000000000001</v>
      </c>
      <c r="AG14" s="2">
        <v>125.3</v>
      </c>
      <c r="AH14" s="2">
        <v>140.5</v>
      </c>
      <c r="AI14" s="2">
        <v>120.5</v>
      </c>
      <c r="AJ14" s="2">
        <v>136.1</v>
      </c>
      <c r="AK14" s="2">
        <v>119.6</v>
      </c>
      <c r="AL14" s="2">
        <v>128.69999999999999</v>
      </c>
      <c r="AM14" s="2">
        <v>129.1</v>
      </c>
    </row>
    <row r="15" spans="1:39" x14ac:dyDescent="0.2">
      <c r="A15" s="1">
        <v>1982</v>
      </c>
      <c r="B15" s="2">
        <v>239.8</v>
      </c>
      <c r="C15" s="2">
        <v>165.1</v>
      </c>
      <c r="D15" s="2">
        <v>179</v>
      </c>
      <c r="E15" s="2">
        <v>130.5</v>
      </c>
      <c r="F15" s="2">
        <v>131.19999999999999</v>
      </c>
      <c r="G15" s="2">
        <v>130.69999999999999</v>
      </c>
      <c r="H15" s="2">
        <v>97.5</v>
      </c>
      <c r="I15" s="2">
        <v>111.5</v>
      </c>
      <c r="J15" s="2">
        <v>126.8</v>
      </c>
      <c r="K15" s="2">
        <v>146.30000000000001</v>
      </c>
      <c r="L15" s="2">
        <v>122.4</v>
      </c>
      <c r="M15" s="2">
        <v>157.69999999999999</v>
      </c>
      <c r="N15" s="2">
        <v>73.599999999999994</v>
      </c>
      <c r="O15" s="2">
        <v>114.7</v>
      </c>
      <c r="P15" s="2">
        <v>162.30000000000001</v>
      </c>
      <c r="Q15" s="2">
        <v>130.9</v>
      </c>
      <c r="R15" s="2">
        <v>119.4</v>
      </c>
      <c r="S15" s="2">
        <v>147.4</v>
      </c>
      <c r="T15" s="2">
        <v>139.5</v>
      </c>
      <c r="U15" s="2">
        <v>147</v>
      </c>
      <c r="V15" s="2">
        <v>117.1</v>
      </c>
      <c r="W15" s="2">
        <v>143.9</v>
      </c>
      <c r="X15" s="2">
        <v>116.2</v>
      </c>
      <c r="Y15" s="2">
        <v>113</v>
      </c>
      <c r="Z15" s="2">
        <v>115.6</v>
      </c>
      <c r="AA15" s="2">
        <v>123.3</v>
      </c>
      <c r="AB15" s="2">
        <v>210.6</v>
      </c>
      <c r="AC15" s="2">
        <v>154.1</v>
      </c>
      <c r="AD15" s="2">
        <v>131.19999999999999</v>
      </c>
      <c r="AE15" s="2">
        <v>147.69999999999999</v>
      </c>
      <c r="AF15" s="2">
        <v>134</v>
      </c>
      <c r="AG15" s="2">
        <v>125.8</v>
      </c>
      <c r="AH15" s="2">
        <v>139.69999999999999</v>
      </c>
      <c r="AI15" s="2">
        <v>119.8</v>
      </c>
      <c r="AJ15" s="2">
        <v>136</v>
      </c>
      <c r="AK15" s="2">
        <v>119.1</v>
      </c>
      <c r="AL15" s="2">
        <v>127.4</v>
      </c>
      <c r="AM15" s="2">
        <v>131.4</v>
      </c>
    </row>
    <row r="16" spans="1:39" x14ac:dyDescent="0.2">
      <c r="A16" s="1">
        <v>1983</v>
      </c>
      <c r="B16" s="2">
        <v>232.9</v>
      </c>
      <c r="C16" s="2">
        <v>159.19999999999999</v>
      </c>
      <c r="D16" s="2">
        <v>169.7</v>
      </c>
      <c r="E16" s="2">
        <v>125.3</v>
      </c>
      <c r="F16" s="2">
        <v>126.4</v>
      </c>
      <c r="G16" s="2">
        <v>127.9</v>
      </c>
      <c r="H16" s="2">
        <v>96.3</v>
      </c>
      <c r="I16" s="2">
        <v>111.3</v>
      </c>
      <c r="J16" s="2">
        <v>119.6</v>
      </c>
      <c r="K16" s="2">
        <v>135.80000000000001</v>
      </c>
      <c r="L16" s="2">
        <v>113.7</v>
      </c>
      <c r="M16" s="2">
        <v>141.19999999999999</v>
      </c>
      <c r="N16" s="2">
        <v>69</v>
      </c>
      <c r="O16" s="2">
        <v>114.1</v>
      </c>
      <c r="P16" s="2">
        <v>153.80000000000001</v>
      </c>
      <c r="Q16" s="2">
        <v>127.6</v>
      </c>
      <c r="R16" s="2">
        <v>113.2</v>
      </c>
      <c r="S16" s="2">
        <v>144.69999999999999</v>
      </c>
      <c r="T16" s="2">
        <v>135.4</v>
      </c>
      <c r="U16" s="2">
        <v>140</v>
      </c>
      <c r="V16" s="2">
        <v>110.8</v>
      </c>
      <c r="W16" s="2">
        <v>133.69999999999999</v>
      </c>
      <c r="X16" s="2">
        <v>115.6</v>
      </c>
      <c r="Y16" s="2">
        <v>109.8</v>
      </c>
      <c r="Z16" s="2">
        <v>106.3</v>
      </c>
      <c r="AA16" s="2">
        <v>125.3</v>
      </c>
      <c r="AB16" s="2">
        <v>201.1</v>
      </c>
      <c r="AC16" s="2">
        <v>149.6</v>
      </c>
      <c r="AD16" s="2">
        <v>128.6</v>
      </c>
      <c r="AE16" s="2">
        <v>143</v>
      </c>
      <c r="AF16" s="2">
        <v>130</v>
      </c>
      <c r="AG16" s="2">
        <v>122.3</v>
      </c>
      <c r="AH16" s="2">
        <v>134.1</v>
      </c>
      <c r="AI16" s="2">
        <v>115.7</v>
      </c>
      <c r="AJ16" s="2">
        <v>131.1</v>
      </c>
      <c r="AK16" s="2">
        <v>116.3</v>
      </c>
      <c r="AL16" s="2">
        <v>128</v>
      </c>
      <c r="AM16" s="2">
        <v>129</v>
      </c>
    </row>
    <row r="17" spans="1:39" x14ac:dyDescent="0.2">
      <c r="A17" s="1">
        <v>1984</v>
      </c>
      <c r="B17" s="2">
        <v>215.1</v>
      </c>
      <c r="C17" s="2">
        <v>136.6</v>
      </c>
      <c r="D17" s="2">
        <v>160.6</v>
      </c>
      <c r="E17" s="2">
        <v>119.7</v>
      </c>
      <c r="F17" s="2">
        <v>117.2</v>
      </c>
      <c r="G17" s="2">
        <v>124</v>
      </c>
      <c r="H17" s="2">
        <v>88.9</v>
      </c>
      <c r="I17" s="2">
        <v>103.6</v>
      </c>
      <c r="J17" s="2">
        <v>109.4</v>
      </c>
      <c r="K17" s="2">
        <v>136.9</v>
      </c>
      <c r="L17" s="2">
        <v>110.1</v>
      </c>
      <c r="M17" s="2">
        <v>128.9</v>
      </c>
      <c r="N17" s="2">
        <v>66.3</v>
      </c>
      <c r="O17" s="2">
        <v>112.5</v>
      </c>
      <c r="P17" s="2">
        <v>144.30000000000001</v>
      </c>
      <c r="Q17" s="2">
        <v>121.7</v>
      </c>
      <c r="R17" s="2">
        <v>110.8</v>
      </c>
      <c r="S17" s="2">
        <v>136.80000000000001</v>
      </c>
      <c r="T17" s="2">
        <v>135.5</v>
      </c>
      <c r="U17" s="2">
        <v>128.1</v>
      </c>
      <c r="V17" s="2">
        <v>107.7</v>
      </c>
      <c r="W17" s="2">
        <v>128.9</v>
      </c>
      <c r="X17" s="2">
        <v>111.2</v>
      </c>
      <c r="Y17" s="2">
        <v>105.7</v>
      </c>
      <c r="Z17" s="2">
        <v>105.6</v>
      </c>
      <c r="AA17" s="2">
        <v>115.3</v>
      </c>
      <c r="AB17" s="2">
        <v>183.2</v>
      </c>
      <c r="AC17" s="2">
        <v>144</v>
      </c>
      <c r="AD17" s="2">
        <v>126.3</v>
      </c>
      <c r="AE17" s="2">
        <v>137.80000000000001</v>
      </c>
      <c r="AF17" s="2">
        <v>127.1</v>
      </c>
      <c r="AG17" s="2">
        <v>116.4</v>
      </c>
      <c r="AH17" s="2">
        <v>130</v>
      </c>
      <c r="AI17" s="2">
        <v>111.9</v>
      </c>
      <c r="AJ17" s="2">
        <v>127</v>
      </c>
      <c r="AK17" s="2">
        <v>113</v>
      </c>
      <c r="AL17" s="2">
        <v>123.1</v>
      </c>
      <c r="AM17" s="2">
        <v>125.1</v>
      </c>
    </row>
    <row r="18" spans="1:39" x14ac:dyDescent="0.2">
      <c r="A18" s="1">
        <v>1985</v>
      </c>
      <c r="B18" s="2">
        <v>201.1</v>
      </c>
      <c r="C18" s="2">
        <v>146.69999999999999</v>
      </c>
      <c r="D18" s="2">
        <v>156.30000000000001</v>
      </c>
      <c r="E18" s="2">
        <v>112.4</v>
      </c>
      <c r="F18" s="2">
        <v>115.9</v>
      </c>
      <c r="G18" s="2">
        <v>121.6</v>
      </c>
      <c r="H18" s="2">
        <v>88</v>
      </c>
      <c r="I18" s="2">
        <v>100.7</v>
      </c>
      <c r="J18" s="2">
        <v>103.2</v>
      </c>
      <c r="K18" s="2">
        <v>133.4</v>
      </c>
      <c r="L18" s="2">
        <v>103.6</v>
      </c>
      <c r="M18" s="2">
        <v>125.7</v>
      </c>
      <c r="N18" s="2">
        <v>66.5</v>
      </c>
      <c r="O18" s="2">
        <v>111</v>
      </c>
      <c r="P18" s="2">
        <v>144.5</v>
      </c>
      <c r="Q18" s="2">
        <v>115.7</v>
      </c>
      <c r="R18" s="2">
        <v>113</v>
      </c>
      <c r="S18" s="2">
        <v>134.6</v>
      </c>
      <c r="T18" s="2">
        <v>127.9</v>
      </c>
      <c r="U18" s="2">
        <v>124.2</v>
      </c>
      <c r="V18" s="2">
        <v>105.1</v>
      </c>
      <c r="W18" s="2">
        <v>125</v>
      </c>
      <c r="X18" s="2">
        <v>109.4</v>
      </c>
      <c r="Y18" s="2">
        <v>104.4</v>
      </c>
      <c r="Z18" s="2">
        <v>107</v>
      </c>
      <c r="AA18" s="2">
        <v>115.8</v>
      </c>
      <c r="AB18" s="2">
        <v>182.4</v>
      </c>
      <c r="AC18" s="2">
        <v>144.5</v>
      </c>
      <c r="AD18" s="2">
        <v>128.80000000000001</v>
      </c>
      <c r="AE18" s="2">
        <v>135.30000000000001</v>
      </c>
      <c r="AF18" s="2">
        <v>126.7</v>
      </c>
      <c r="AG18" s="2">
        <v>115.3</v>
      </c>
      <c r="AH18" s="2">
        <v>129.19999999999999</v>
      </c>
      <c r="AI18" s="2">
        <v>109.1</v>
      </c>
      <c r="AJ18" s="2">
        <v>125.4</v>
      </c>
      <c r="AK18" s="2">
        <v>114.5</v>
      </c>
      <c r="AL18" s="2">
        <v>125.8</v>
      </c>
      <c r="AM18" s="2">
        <v>128.69999999999999</v>
      </c>
    </row>
    <row r="19" spans="1:39" x14ac:dyDescent="0.2">
      <c r="A19" s="1">
        <v>1986</v>
      </c>
      <c r="B19" s="2">
        <v>195.9</v>
      </c>
      <c r="C19" s="2">
        <v>142.6</v>
      </c>
      <c r="D19" s="2">
        <v>154.4</v>
      </c>
      <c r="E19" s="2">
        <v>109.9</v>
      </c>
      <c r="F19" s="2">
        <v>113.7</v>
      </c>
      <c r="G19" s="2">
        <v>118.2</v>
      </c>
      <c r="H19" s="2">
        <v>88.2</v>
      </c>
      <c r="I19" s="2">
        <v>96.7</v>
      </c>
      <c r="J19" s="2">
        <v>99.8</v>
      </c>
      <c r="K19" s="2">
        <v>136.30000000000001</v>
      </c>
      <c r="L19" s="2">
        <v>97.8</v>
      </c>
      <c r="M19" s="2">
        <v>124.8</v>
      </c>
      <c r="N19" s="2">
        <v>64.400000000000006</v>
      </c>
      <c r="O19" s="2">
        <v>108.5</v>
      </c>
      <c r="P19" s="2">
        <v>131.19999999999999</v>
      </c>
      <c r="Q19" s="2">
        <v>109.4</v>
      </c>
      <c r="R19" s="2">
        <v>104.8</v>
      </c>
      <c r="S19" s="2">
        <v>135.80000000000001</v>
      </c>
      <c r="T19" s="2">
        <v>119</v>
      </c>
      <c r="U19" s="2">
        <v>119.9</v>
      </c>
      <c r="V19" s="2">
        <v>103.1</v>
      </c>
      <c r="W19" s="2">
        <v>121.2</v>
      </c>
      <c r="X19" s="2">
        <v>104.1</v>
      </c>
      <c r="Y19" s="2">
        <v>97</v>
      </c>
      <c r="Z19" s="2">
        <v>105.4</v>
      </c>
      <c r="AA19" s="2">
        <v>113.9</v>
      </c>
      <c r="AB19" s="2">
        <v>179.8</v>
      </c>
      <c r="AC19" s="2">
        <v>142.4</v>
      </c>
      <c r="AD19" s="2">
        <v>129</v>
      </c>
      <c r="AE19" s="2">
        <v>137.6</v>
      </c>
      <c r="AF19" s="2">
        <v>126.3</v>
      </c>
      <c r="AG19" s="2">
        <v>113.2</v>
      </c>
      <c r="AH19" s="2">
        <v>128.80000000000001</v>
      </c>
      <c r="AI19" s="2">
        <v>112.1</v>
      </c>
      <c r="AJ19" s="2">
        <v>126.6</v>
      </c>
      <c r="AK19" s="2">
        <v>116.3</v>
      </c>
      <c r="AL19" s="2">
        <v>126</v>
      </c>
      <c r="AM19" s="2">
        <v>107.9</v>
      </c>
    </row>
    <row r="20" spans="1:39" x14ac:dyDescent="0.2">
      <c r="A20" s="1">
        <v>1987</v>
      </c>
      <c r="B20" s="2">
        <v>195.1</v>
      </c>
      <c r="C20" s="2">
        <v>147.69999999999999</v>
      </c>
      <c r="D20" s="2">
        <v>150.5</v>
      </c>
      <c r="E20" s="2">
        <v>102.4</v>
      </c>
      <c r="F20" s="2">
        <v>105.8</v>
      </c>
      <c r="G20" s="2">
        <v>109.5</v>
      </c>
      <c r="H20" s="2">
        <v>82.3</v>
      </c>
      <c r="I20" s="2">
        <v>95</v>
      </c>
      <c r="J20" s="2">
        <v>92.3</v>
      </c>
      <c r="K20" s="2">
        <v>124.4</v>
      </c>
      <c r="L20" s="2">
        <v>91.7</v>
      </c>
      <c r="M20" s="2">
        <v>110.4</v>
      </c>
      <c r="N20" s="2">
        <v>67.7</v>
      </c>
      <c r="O20" s="2">
        <v>109</v>
      </c>
      <c r="P20" s="2">
        <v>128.30000000000001</v>
      </c>
      <c r="Q20" s="2">
        <v>105.2</v>
      </c>
      <c r="R20" s="2">
        <v>108.8</v>
      </c>
      <c r="S20" s="2">
        <v>133</v>
      </c>
      <c r="T20" s="2">
        <v>125</v>
      </c>
      <c r="U20" s="2">
        <v>113.1</v>
      </c>
      <c r="V20" s="2">
        <v>101.3</v>
      </c>
      <c r="W20" s="2">
        <v>116.5</v>
      </c>
      <c r="X20" s="2">
        <v>101.1</v>
      </c>
      <c r="Y20" s="2">
        <v>95.8</v>
      </c>
      <c r="Z20" s="2">
        <v>106</v>
      </c>
      <c r="AA20" s="2">
        <v>110.6</v>
      </c>
      <c r="AB20" s="2">
        <v>171.2</v>
      </c>
      <c r="AC20" s="2">
        <v>141</v>
      </c>
      <c r="AD20" s="2">
        <v>129.30000000000001</v>
      </c>
      <c r="AE20" s="2">
        <v>134</v>
      </c>
      <c r="AF20" s="2">
        <v>124.6</v>
      </c>
      <c r="AG20" s="2">
        <v>110</v>
      </c>
      <c r="AH20" s="2">
        <v>128.69999999999999</v>
      </c>
      <c r="AI20" s="2">
        <v>107.5</v>
      </c>
      <c r="AJ20" s="2">
        <v>126.6</v>
      </c>
      <c r="AK20" s="2">
        <v>114</v>
      </c>
      <c r="AL20" s="2">
        <v>122.3</v>
      </c>
      <c r="AM20" s="2">
        <v>130.6</v>
      </c>
    </row>
    <row r="21" spans="1:39" x14ac:dyDescent="0.2">
      <c r="A21" s="1">
        <v>1988</v>
      </c>
      <c r="B21" s="2">
        <v>180.4</v>
      </c>
      <c r="C21" s="2">
        <v>141.9</v>
      </c>
      <c r="D21" s="2">
        <v>146</v>
      </c>
      <c r="E21" s="2">
        <v>94.6</v>
      </c>
      <c r="F21" s="2">
        <v>96.5</v>
      </c>
      <c r="G21" s="2">
        <v>107.6</v>
      </c>
      <c r="H21" s="2">
        <v>77.7</v>
      </c>
      <c r="I21" s="2">
        <v>84.5</v>
      </c>
      <c r="J21" s="2">
        <v>87.1</v>
      </c>
      <c r="K21" s="2">
        <v>138</v>
      </c>
      <c r="L21" s="2">
        <v>87.1</v>
      </c>
      <c r="M21" s="2">
        <v>114.3</v>
      </c>
      <c r="N21" s="2">
        <v>55</v>
      </c>
      <c r="O21" s="2">
        <v>104.8</v>
      </c>
      <c r="P21" s="2">
        <v>128.69999999999999</v>
      </c>
      <c r="Q21" s="2">
        <v>103.2</v>
      </c>
      <c r="R21" s="2">
        <v>94.1</v>
      </c>
      <c r="S21" s="2">
        <v>129.5</v>
      </c>
      <c r="T21" s="2">
        <v>125</v>
      </c>
      <c r="U21" s="2">
        <v>103.6</v>
      </c>
      <c r="V21" s="2">
        <v>92.9</v>
      </c>
      <c r="W21" s="2">
        <v>110.9</v>
      </c>
      <c r="X21" s="2">
        <v>100.2</v>
      </c>
      <c r="Y21" s="2">
        <v>91.9</v>
      </c>
      <c r="Z21" s="2">
        <v>102.6</v>
      </c>
      <c r="AA21" s="2">
        <v>107.6</v>
      </c>
      <c r="AB21" s="2">
        <v>173.2</v>
      </c>
      <c r="AC21" s="2">
        <v>137.1</v>
      </c>
      <c r="AD21" s="2">
        <v>124.1</v>
      </c>
      <c r="AE21" s="2">
        <v>134</v>
      </c>
      <c r="AF21" s="2">
        <v>122.4</v>
      </c>
      <c r="AG21" s="2">
        <v>109</v>
      </c>
      <c r="AH21" s="2">
        <v>127.4</v>
      </c>
      <c r="AI21" s="2">
        <v>109.1</v>
      </c>
      <c r="AJ21" s="2">
        <v>124.4</v>
      </c>
      <c r="AK21" s="2">
        <v>112.1</v>
      </c>
      <c r="AL21" s="2">
        <v>121.5</v>
      </c>
      <c r="AM21" s="2">
        <v>125.3</v>
      </c>
    </row>
    <row r="22" spans="1:39" x14ac:dyDescent="0.2">
      <c r="A22" s="1">
        <v>1989</v>
      </c>
      <c r="B22" s="2">
        <v>172.9</v>
      </c>
      <c r="C22" s="2">
        <v>137.9</v>
      </c>
      <c r="D22" s="2">
        <v>139.30000000000001</v>
      </c>
      <c r="E22" s="2">
        <v>88.8</v>
      </c>
      <c r="F22" s="2">
        <v>94.5</v>
      </c>
      <c r="G22" s="2">
        <v>104.6</v>
      </c>
      <c r="H22" s="2">
        <v>74.400000000000006</v>
      </c>
      <c r="I22" s="2">
        <v>78.400000000000006</v>
      </c>
      <c r="J22" s="2">
        <v>84.1</v>
      </c>
      <c r="K22" s="2">
        <v>120.8</v>
      </c>
      <c r="L22" s="2">
        <v>86.2</v>
      </c>
      <c r="M22" s="2">
        <v>111.4</v>
      </c>
      <c r="N22" s="2">
        <v>57</v>
      </c>
      <c r="O22" s="2">
        <v>100.6</v>
      </c>
      <c r="P22" s="2">
        <v>120.9</v>
      </c>
      <c r="Q22" s="2">
        <v>96.5</v>
      </c>
      <c r="R22" s="2">
        <v>92.3</v>
      </c>
      <c r="S22" s="2">
        <v>122.5</v>
      </c>
      <c r="T22" s="2">
        <v>122.4</v>
      </c>
      <c r="U22" s="2">
        <v>97.5</v>
      </c>
      <c r="V22" s="2">
        <v>93.8</v>
      </c>
      <c r="W22" s="2">
        <v>103.6</v>
      </c>
      <c r="X22" s="2">
        <v>94.4</v>
      </c>
      <c r="Y22" s="2">
        <v>87.4</v>
      </c>
      <c r="Z22" s="2">
        <v>100.3</v>
      </c>
      <c r="AA22" s="2">
        <v>107.1</v>
      </c>
      <c r="AB22" s="2">
        <v>171.6</v>
      </c>
      <c r="AC22" s="2">
        <v>131.69999999999999</v>
      </c>
      <c r="AD22" s="2">
        <v>117.1</v>
      </c>
      <c r="AE22" s="2">
        <v>132.5</v>
      </c>
      <c r="AF22" s="2">
        <v>118.6</v>
      </c>
      <c r="AG22" s="2">
        <v>108.3</v>
      </c>
      <c r="AH22" s="2">
        <v>122.8</v>
      </c>
      <c r="AI22" s="2">
        <v>104</v>
      </c>
      <c r="AJ22" s="2">
        <v>122.4</v>
      </c>
      <c r="AK22" s="2">
        <v>105.6</v>
      </c>
      <c r="AL22" s="2">
        <v>118.3</v>
      </c>
      <c r="AM22" s="2">
        <v>124.7</v>
      </c>
    </row>
    <row r="23" spans="1:39" x14ac:dyDescent="0.2">
      <c r="A23" s="1">
        <v>1990</v>
      </c>
      <c r="B23" s="2">
        <v>152.4</v>
      </c>
      <c r="C23" s="2">
        <v>137.30000000000001</v>
      </c>
      <c r="D23" s="2">
        <v>133.69999999999999</v>
      </c>
      <c r="E23" s="2">
        <v>87.4</v>
      </c>
      <c r="F23" s="2">
        <v>85.6</v>
      </c>
      <c r="G23" s="2">
        <v>94.1</v>
      </c>
      <c r="H23" s="2">
        <v>70.8</v>
      </c>
      <c r="I23" s="2">
        <v>90.1</v>
      </c>
      <c r="J23" s="2">
        <v>77.099999999999994</v>
      </c>
      <c r="K23" s="2">
        <v>101.4</v>
      </c>
      <c r="L23" s="2">
        <v>84.7</v>
      </c>
      <c r="M23" s="2">
        <v>96.9</v>
      </c>
      <c r="N23" s="2">
        <v>53.4</v>
      </c>
      <c r="O23" s="2">
        <v>91.5</v>
      </c>
      <c r="P23" s="2">
        <v>124.3</v>
      </c>
      <c r="Q23" s="2">
        <v>94.3</v>
      </c>
      <c r="R23" s="2">
        <v>90.7</v>
      </c>
      <c r="S23" s="2">
        <v>118.9</v>
      </c>
      <c r="T23" s="2">
        <v>117.5</v>
      </c>
      <c r="U23" s="2">
        <v>88.4</v>
      </c>
      <c r="V23" s="2">
        <v>89.9</v>
      </c>
      <c r="W23" s="2">
        <v>101.5</v>
      </c>
      <c r="X23" s="2">
        <v>95.4</v>
      </c>
      <c r="Y23" s="2">
        <v>88.3</v>
      </c>
      <c r="Z23" s="2">
        <v>94.1</v>
      </c>
      <c r="AA23" s="2">
        <v>101.3</v>
      </c>
      <c r="AB23" s="2">
        <v>182.5</v>
      </c>
      <c r="AC23" s="2">
        <v>127.2</v>
      </c>
      <c r="AD23" s="2">
        <v>113.8</v>
      </c>
      <c r="AE23" s="2">
        <v>128.30000000000001</v>
      </c>
      <c r="AF23" s="2">
        <v>115.5</v>
      </c>
      <c r="AG23" s="2">
        <v>101.8</v>
      </c>
      <c r="AH23" s="2">
        <v>119.1</v>
      </c>
      <c r="AI23" s="2">
        <v>104.1</v>
      </c>
      <c r="AJ23" s="2">
        <v>118.6</v>
      </c>
      <c r="AK23" s="2">
        <v>108.6</v>
      </c>
      <c r="AL23" s="2">
        <v>113.1</v>
      </c>
      <c r="AM23" s="2">
        <v>121.8</v>
      </c>
    </row>
    <row r="24" spans="1:39" x14ac:dyDescent="0.2">
      <c r="A24" s="1">
        <v>1991</v>
      </c>
      <c r="B24" s="2">
        <v>144.80000000000001</v>
      </c>
      <c r="C24" s="2">
        <v>115.5</v>
      </c>
      <c r="D24" s="2">
        <v>132.69999999999999</v>
      </c>
      <c r="E24" s="2">
        <v>90.2</v>
      </c>
      <c r="F24" s="2">
        <v>79.599999999999994</v>
      </c>
      <c r="G24" s="2">
        <v>96.1</v>
      </c>
      <c r="H24" s="2">
        <v>69.900000000000006</v>
      </c>
      <c r="I24" s="2">
        <v>85.4</v>
      </c>
      <c r="J24" s="2">
        <v>85.2</v>
      </c>
      <c r="K24" s="2">
        <v>103.6</v>
      </c>
      <c r="L24" s="2">
        <v>82.9</v>
      </c>
      <c r="M24" s="2">
        <v>109.1</v>
      </c>
      <c r="N24" s="2">
        <v>53.5</v>
      </c>
      <c r="O24" s="2">
        <v>86.7</v>
      </c>
      <c r="P24" s="2">
        <v>120.9</v>
      </c>
      <c r="Q24" s="2">
        <v>91.8</v>
      </c>
      <c r="R24" s="2">
        <v>86.2</v>
      </c>
      <c r="S24" s="2">
        <v>109.1</v>
      </c>
      <c r="T24" s="2">
        <v>116.1</v>
      </c>
      <c r="U24" s="2">
        <v>87.8</v>
      </c>
      <c r="V24" s="2">
        <v>92.4</v>
      </c>
      <c r="W24" s="2">
        <v>107.2</v>
      </c>
      <c r="X24" s="2">
        <v>97.1</v>
      </c>
      <c r="Y24" s="2">
        <v>91.8</v>
      </c>
      <c r="Z24" s="2">
        <v>95.5</v>
      </c>
      <c r="AA24" s="2">
        <v>102.5</v>
      </c>
      <c r="AB24" s="2">
        <v>170.8</v>
      </c>
      <c r="AC24" s="2">
        <v>118.8</v>
      </c>
      <c r="AD24" s="2">
        <v>109.6</v>
      </c>
      <c r="AE24" s="2">
        <v>127.2</v>
      </c>
      <c r="AF24" s="2">
        <v>113.2</v>
      </c>
      <c r="AG24" s="2">
        <v>105.6</v>
      </c>
      <c r="AH24" s="2">
        <v>119.9</v>
      </c>
      <c r="AI24" s="2">
        <v>100.1</v>
      </c>
      <c r="AJ24" s="2">
        <v>121.5</v>
      </c>
      <c r="AK24" s="2">
        <v>107.9</v>
      </c>
      <c r="AL24" s="2">
        <v>116.8</v>
      </c>
      <c r="AM24" s="2">
        <v>120.6</v>
      </c>
    </row>
    <row r="25" spans="1:39" x14ac:dyDescent="0.2">
      <c r="A25" s="1">
        <v>1992</v>
      </c>
      <c r="B25" s="2">
        <v>143.69999999999999</v>
      </c>
      <c r="C25" s="2">
        <v>110</v>
      </c>
      <c r="D25" s="2">
        <v>128.80000000000001</v>
      </c>
      <c r="E25" s="2">
        <v>88.3</v>
      </c>
      <c r="F25" s="2">
        <v>77.2</v>
      </c>
      <c r="G25" s="2">
        <v>94.8</v>
      </c>
      <c r="H25" s="2">
        <v>71.400000000000006</v>
      </c>
      <c r="I25" s="2">
        <v>85.1</v>
      </c>
      <c r="J25" s="2">
        <v>74.400000000000006</v>
      </c>
      <c r="K25" s="2">
        <v>100.1</v>
      </c>
      <c r="L25" s="2">
        <v>86.6</v>
      </c>
      <c r="M25" s="2">
        <v>110.8</v>
      </c>
      <c r="N25" s="2">
        <v>55</v>
      </c>
      <c r="O25" s="2">
        <v>83.6</v>
      </c>
      <c r="P25" s="2">
        <v>126.5</v>
      </c>
      <c r="Q25" s="2">
        <v>90</v>
      </c>
      <c r="R25" s="2">
        <v>83.8</v>
      </c>
      <c r="S25" s="2">
        <v>108.2</v>
      </c>
      <c r="T25" s="2">
        <v>114.7</v>
      </c>
      <c r="U25" s="2">
        <v>86.3</v>
      </c>
      <c r="V25" s="2">
        <v>90.6</v>
      </c>
      <c r="W25" s="2">
        <v>108.5</v>
      </c>
      <c r="X25" s="2">
        <v>95.2</v>
      </c>
      <c r="Y25" s="2">
        <v>93</v>
      </c>
      <c r="Z25" s="2">
        <v>96.2</v>
      </c>
      <c r="AA25" s="2">
        <v>96.2</v>
      </c>
      <c r="AB25" s="2">
        <v>167.6</v>
      </c>
      <c r="AC25" s="2">
        <v>120</v>
      </c>
      <c r="AD25" s="2">
        <v>109.2</v>
      </c>
      <c r="AE25" s="2">
        <v>128.19999999999999</v>
      </c>
      <c r="AF25" s="2">
        <v>112.3</v>
      </c>
      <c r="AG25" s="2">
        <v>103.9</v>
      </c>
      <c r="AH25" s="2">
        <v>122.3</v>
      </c>
      <c r="AI25" s="2">
        <v>98</v>
      </c>
      <c r="AJ25" s="2">
        <v>112.9</v>
      </c>
      <c r="AK25" s="2">
        <v>109.1</v>
      </c>
      <c r="AL25" s="2">
        <v>126</v>
      </c>
      <c r="AM25" s="2">
        <v>121</v>
      </c>
    </row>
    <row r="26" spans="1:39" x14ac:dyDescent="0.2">
      <c r="A26" s="1">
        <v>1993</v>
      </c>
      <c r="B26" s="2">
        <v>148.9</v>
      </c>
      <c r="C26" s="2">
        <v>108.1</v>
      </c>
      <c r="D26" s="2">
        <v>129.69999999999999</v>
      </c>
      <c r="E26" s="2">
        <v>88.6</v>
      </c>
      <c r="F26" s="2">
        <v>81.3</v>
      </c>
      <c r="G26" s="2">
        <v>94.6</v>
      </c>
      <c r="H26" s="2">
        <v>69</v>
      </c>
      <c r="I26" s="2">
        <v>86.7</v>
      </c>
      <c r="J26" s="2">
        <v>83</v>
      </c>
      <c r="K26" s="2">
        <v>94.1</v>
      </c>
      <c r="L26" s="2">
        <v>86</v>
      </c>
      <c r="M26" s="2">
        <v>108.4</v>
      </c>
      <c r="N26" s="2">
        <v>56.2</v>
      </c>
      <c r="O26" s="2">
        <v>79.099999999999994</v>
      </c>
      <c r="P26" s="2">
        <v>117.2</v>
      </c>
      <c r="Q26" s="2">
        <v>89.9</v>
      </c>
      <c r="R26" s="2">
        <v>81.599999999999994</v>
      </c>
      <c r="S26" s="2">
        <v>105.4</v>
      </c>
      <c r="T26" s="2">
        <v>108.5</v>
      </c>
      <c r="U26" s="2">
        <v>86.2</v>
      </c>
      <c r="V26" s="2">
        <v>91.1</v>
      </c>
      <c r="W26" s="2">
        <v>106.2</v>
      </c>
      <c r="X26" s="2">
        <v>92.5</v>
      </c>
      <c r="Y26" s="2">
        <v>91.6</v>
      </c>
      <c r="Z26" s="2">
        <v>91.2</v>
      </c>
      <c r="AA26" s="2">
        <v>94.7</v>
      </c>
      <c r="AB26" s="2">
        <v>167.6</v>
      </c>
      <c r="AC26" s="2">
        <v>123.8</v>
      </c>
      <c r="AD26" s="2">
        <v>109.2</v>
      </c>
      <c r="AE26" s="2">
        <v>126.8</v>
      </c>
      <c r="AF26" s="2">
        <v>108.9</v>
      </c>
      <c r="AG26" s="2">
        <v>105.4</v>
      </c>
      <c r="AH26" s="2">
        <v>121.6</v>
      </c>
      <c r="AI26" s="2">
        <v>111</v>
      </c>
      <c r="AJ26" s="2">
        <v>115.2</v>
      </c>
      <c r="AK26" s="2">
        <v>108.5</v>
      </c>
      <c r="AL26" s="2">
        <v>113.8</v>
      </c>
      <c r="AM26" s="2">
        <v>120.8</v>
      </c>
    </row>
    <row r="27" spans="1:39" x14ac:dyDescent="0.2">
      <c r="A27" s="1">
        <v>1994</v>
      </c>
      <c r="B27" s="2">
        <v>153.80000000000001</v>
      </c>
      <c r="C27" s="2">
        <v>105.2</v>
      </c>
      <c r="D27" s="2">
        <v>112.7</v>
      </c>
      <c r="E27" s="2">
        <v>89.1</v>
      </c>
      <c r="F27" s="2">
        <v>78.8</v>
      </c>
      <c r="G27" s="2">
        <v>85.7</v>
      </c>
      <c r="H27" s="2">
        <v>68.2</v>
      </c>
      <c r="I27" s="2">
        <v>93</v>
      </c>
      <c r="J27" s="2">
        <v>81</v>
      </c>
      <c r="K27" s="2">
        <v>91.9</v>
      </c>
      <c r="L27" s="2">
        <v>88.2</v>
      </c>
      <c r="M27" s="2">
        <v>111.2</v>
      </c>
      <c r="N27" s="2">
        <v>55.8</v>
      </c>
      <c r="O27" s="2">
        <v>76.599999999999994</v>
      </c>
      <c r="P27" s="2">
        <v>120.3</v>
      </c>
      <c r="Q27" s="2">
        <v>89.1</v>
      </c>
      <c r="R27" s="2">
        <v>83.4</v>
      </c>
      <c r="S27" s="2">
        <v>106.2</v>
      </c>
      <c r="T27" s="2">
        <v>101.6</v>
      </c>
      <c r="U27" s="2">
        <v>104.8</v>
      </c>
      <c r="V27" s="2">
        <v>85.9</v>
      </c>
      <c r="W27" s="2">
        <v>105.3</v>
      </c>
      <c r="X27" s="2">
        <v>93.4</v>
      </c>
      <c r="Y27" s="2">
        <v>94.8</v>
      </c>
      <c r="Z27" s="2">
        <v>91.8</v>
      </c>
      <c r="AA27" s="2">
        <v>95.4</v>
      </c>
      <c r="AB27" s="2">
        <v>170.2</v>
      </c>
      <c r="AC27" s="2">
        <v>126.1</v>
      </c>
      <c r="AD27" s="2">
        <v>107.8</v>
      </c>
      <c r="AE27" s="2">
        <v>128.19999999999999</v>
      </c>
      <c r="AF27" s="2">
        <v>108.6</v>
      </c>
      <c r="AG27" s="2">
        <v>106</v>
      </c>
      <c r="AH27" s="2">
        <v>119.4</v>
      </c>
      <c r="AI27" s="2">
        <v>104.2</v>
      </c>
      <c r="AJ27" s="2">
        <v>112.2</v>
      </c>
      <c r="AK27" s="2">
        <v>107.1</v>
      </c>
      <c r="AL27" s="2">
        <v>108.8</v>
      </c>
      <c r="AM27" s="2">
        <v>118.8</v>
      </c>
    </row>
    <row r="28" spans="1:39" x14ac:dyDescent="0.2">
      <c r="A28" s="1">
        <v>1995</v>
      </c>
      <c r="B28" s="2">
        <v>158.5</v>
      </c>
      <c r="C28" s="2">
        <v>100.9</v>
      </c>
      <c r="D28" s="2">
        <v>124.9</v>
      </c>
      <c r="E28" s="2">
        <v>85.4</v>
      </c>
      <c r="F28" s="2">
        <v>75.2</v>
      </c>
      <c r="G28" s="2">
        <v>84.3</v>
      </c>
      <c r="H28" s="2">
        <v>67</v>
      </c>
      <c r="I28" s="2">
        <v>78.2</v>
      </c>
      <c r="J28" s="2">
        <v>80.599999999999994</v>
      </c>
      <c r="K28" s="2">
        <v>90.8</v>
      </c>
      <c r="L28" s="2">
        <v>90.5</v>
      </c>
      <c r="M28" s="2">
        <v>115</v>
      </c>
      <c r="N28" s="2">
        <v>52</v>
      </c>
      <c r="O28" s="2">
        <v>79.3</v>
      </c>
      <c r="P28" s="2">
        <v>123.2</v>
      </c>
      <c r="Q28" s="2">
        <v>90.1</v>
      </c>
      <c r="R28" s="2">
        <v>84.1</v>
      </c>
      <c r="S28" s="2">
        <v>106.7</v>
      </c>
      <c r="T28" s="2">
        <v>102.3</v>
      </c>
      <c r="U28" s="2">
        <v>109.5</v>
      </c>
      <c r="V28" s="2">
        <v>88.5</v>
      </c>
      <c r="W28" s="2">
        <v>105.7</v>
      </c>
      <c r="X28" s="2">
        <v>93</v>
      </c>
      <c r="Y28" s="2">
        <v>98.6</v>
      </c>
      <c r="Z28" s="2">
        <v>93.5</v>
      </c>
      <c r="AA28" s="2">
        <v>95.4</v>
      </c>
      <c r="AB28" s="2">
        <v>175.3</v>
      </c>
      <c r="AC28" s="2">
        <v>127.2</v>
      </c>
      <c r="AD28" s="2">
        <v>100.3</v>
      </c>
      <c r="AE28" s="2">
        <v>135.4</v>
      </c>
      <c r="AF28" s="2">
        <v>111.7</v>
      </c>
      <c r="AG28" s="2">
        <v>107.5</v>
      </c>
      <c r="AH28" s="2">
        <v>124</v>
      </c>
      <c r="AI28" s="2">
        <v>115.8</v>
      </c>
      <c r="AJ28" s="2">
        <v>109.2</v>
      </c>
      <c r="AK28" s="2">
        <v>102.6</v>
      </c>
      <c r="AL28" s="2">
        <v>113</v>
      </c>
      <c r="AM28" s="2">
        <v>125.4</v>
      </c>
    </row>
    <row r="29" spans="1:39" x14ac:dyDescent="0.2">
      <c r="A29" s="1">
        <v>1996</v>
      </c>
      <c r="B29" s="2">
        <v>158</v>
      </c>
      <c r="C29" s="2">
        <v>99</v>
      </c>
      <c r="D29" s="2">
        <v>129.69999999999999</v>
      </c>
      <c r="E29" s="2">
        <v>83.1</v>
      </c>
      <c r="F29" s="2">
        <v>74.599999999999994</v>
      </c>
      <c r="G29" s="2">
        <v>81.8</v>
      </c>
      <c r="H29" s="2">
        <v>65.7</v>
      </c>
      <c r="I29" s="2">
        <v>73.599999999999994</v>
      </c>
      <c r="J29" s="2">
        <v>80.8</v>
      </c>
      <c r="K29" s="2">
        <v>87.5</v>
      </c>
      <c r="L29" s="2">
        <v>87.3</v>
      </c>
      <c r="M29" s="2">
        <v>110.3</v>
      </c>
      <c r="N29" s="2">
        <v>54</v>
      </c>
      <c r="O29" s="2">
        <v>76</v>
      </c>
      <c r="P29" s="2">
        <v>102.5</v>
      </c>
      <c r="Q29" s="2">
        <v>88.7</v>
      </c>
      <c r="R29" s="2">
        <v>81.7</v>
      </c>
      <c r="S29" s="2">
        <v>104.6</v>
      </c>
      <c r="T29" s="2">
        <v>100</v>
      </c>
      <c r="U29" s="2">
        <v>110.8</v>
      </c>
      <c r="V29" s="2">
        <v>86.2</v>
      </c>
      <c r="W29" s="2">
        <v>106.8</v>
      </c>
      <c r="X29" s="2">
        <v>94</v>
      </c>
      <c r="Y29" s="2">
        <v>92.3</v>
      </c>
      <c r="Z29" s="2">
        <v>92.1</v>
      </c>
      <c r="AA29" s="2">
        <v>93.3</v>
      </c>
      <c r="AB29" s="2">
        <v>179</v>
      </c>
      <c r="AC29" s="2">
        <v>128.30000000000001</v>
      </c>
      <c r="AD29" s="2">
        <v>102.7</v>
      </c>
      <c r="AE29" s="2">
        <v>135.1</v>
      </c>
      <c r="AF29" s="2">
        <v>107.6</v>
      </c>
      <c r="AG29" s="2">
        <v>106.9</v>
      </c>
      <c r="AH29" s="2">
        <v>124.1</v>
      </c>
      <c r="AI29" s="2">
        <v>112.7</v>
      </c>
      <c r="AJ29" s="2">
        <v>102.9</v>
      </c>
      <c r="AK29" s="2">
        <v>101.4</v>
      </c>
      <c r="AL29" s="2">
        <v>110.7</v>
      </c>
      <c r="AM29" s="2">
        <v>119.2</v>
      </c>
    </row>
    <row r="30" spans="1:39" x14ac:dyDescent="0.2">
      <c r="A30" s="1">
        <v>1997</v>
      </c>
      <c r="B30" s="2">
        <v>174.4</v>
      </c>
      <c r="C30" s="2">
        <v>95.6</v>
      </c>
      <c r="D30" s="2">
        <v>125.6</v>
      </c>
      <c r="E30" s="2">
        <v>81.3</v>
      </c>
      <c r="F30" s="2">
        <v>72.599999999999994</v>
      </c>
      <c r="G30" s="2">
        <v>79.599999999999994</v>
      </c>
      <c r="H30" s="2">
        <v>61.8</v>
      </c>
      <c r="I30" s="2">
        <v>75</v>
      </c>
      <c r="J30" s="2">
        <v>77.5</v>
      </c>
      <c r="K30" s="2">
        <v>90</v>
      </c>
      <c r="L30" s="2">
        <v>88.9</v>
      </c>
      <c r="M30" s="2">
        <v>108.8</v>
      </c>
      <c r="N30" s="2">
        <v>57</v>
      </c>
      <c r="O30" s="2">
        <v>75.900000000000006</v>
      </c>
      <c r="P30" s="2">
        <v>97.7</v>
      </c>
      <c r="Q30" s="2">
        <v>89.2</v>
      </c>
      <c r="R30" s="2">
        <v>84.1</v>
      </c>
      <c r="S30" s="2">
        <v>108</v>
      </c>
      <c r="T30" s="2">
        <v>101.1</v>
      </c>
      <c r="U30" s="2">
        <v>111.8</v>
      </c>
      <c r="V30" s="2">
        <v>85.5</v>
      </c>
      <c r="W30" s="2">
        <v>105.3</v>
      </c>
      <c r="X30" s="2">
        <v>93.9</v>
      </c>
      <c r="Y30" s="2">
        <v>88.8</v>
      </c>
      <c r="Z30" s="2">
        <v>91.9</v>
      </c>
      <c r="AA30" s="2">
        <v>92.9</v>
      </c>
      <c r="AB30" s="2">
        <v>186.8</v>
      </c>
      <c r="AC30" s="2">
        <v>124.1</v>
      </c>
      <c r="AD30" s="2">
        <v>100.6</v>
      </c>
      <c r="AE30" s="2">
        <v>135.30000000000001</v>
      </c>
      <c r="AF30" s="2">
        <v>108.6</v>
      </c>
      <c r="AG30" s="2">
        <v>106.3</v>
      </c>
      <c r="AH30" s="2">
        <v>120.6</v>
      </c>
      <c r="AI30" s="2">
        <v>114.5</v>
      </c>
      <c r="AJ30" s="2">
        <v>124.5</v>
      </c>
      <c r="AK30" s="2">
        <v>104.9</v>
      </c>
      <c r="AL30" s="2">
        <v>108.7</v>
      </c>
      <c r="AM30" s="2">
        <v>118.9</v>
      </c>
    </row>
    <row r="31" spans="1:39" x14ac:dyDescent="0.2">
      <c r="A31" s="1">
        <v>1998</v>
      </c>
      <c r="B31" s="2">
        <v>173.8</v>
      </c>
      <c r="C31" s="2">
        <v>102.4</v>
      </c>
      <c r="D31" s="2">
        <v>126</v>
      </c>
      <c r="E31" s="2">
        <v>81.2</v>
      </c>
      <c r="F31" s="2">
        <v>73.2</v>
      </c>
      <c r="G31" s="2">
        <v>80.3</v>
      </c>
      <c r="H31" s="2">
        <v>62.6</v>
      </c>
      <c r="I31" s="2">
        <v>78.900000000000006</v>
      </c>
      <c r="J31" s="2">
        <v>79.099999999999994</v>
      </c>
      <c r="K31" s="2">
        <v>88.7</v>
      </c>
      <c r="L31" s="2">
        <v>89.1</v>
      </c>
      <c r="M31" s="2">
        <v>102.9</v>
      </c>
      <c r="N31" s="2">
        <v>42.3</v>
      </c>
      <c r="O31" s="2">
        <v>75.5</v>
      </c>
      <c r="P31" s="2">
        <v>97</v>
      </c>
      <c r="Q31" s="2">
        <v>87.6</v>
      </c>
      <c r="R31" s="2">
        <v>83.2</v>
      </c>
      <c r="S31" s="2">
        <v>105.6</v>
      </c>
      <c r="T31" s="2">
        <v>94.5</v>
      </c>
      <c r="U31" s="2">
        <v>112.2</v>
      </c>
      <c r="V31" s="2">
        <v>79.7</v>
      </c>
      <c r="W31" s="2">
        <v>103.2</v>
      </c>
      <c r="X31" s="2">
        <v>94</v>
      </c>
      <c r="Y31" s="2">
        <v>88.3</v>
      </c>
      <c r="Z31" s="2">
        <v>88.7</v>
      </c>
      <c r="AA31" s="2">
        <v>92.1</v>
      </c>
      <c r="AB31" s="2">
        <v>171.3</v>
      </c>
      <c r="AC31" s="2">
        <v>132.80000000000001</v>
      </c>
      <c r="AD31" s="2">
        <v>100.5</v>
      </c>
      <c r="AE31" s="2">
        <v>135.9</v>
      </c>
      <c r="AF31" s="2">
        <v>106.4</v>
      </c>
      <c r="AG31" s="2">
        <v>107</v>
      </c>
      <c r="AH31" s="2">
        <v>120.1</v>
      </c>
      <c r="AI31" s="2">
        <v>114.6</v>
      </c>
      <c r="AJ31" s="2">
        <v>126.9</v>
      </c>
      <c r="AK31" s="2">
        <v>106.2</v>
      </c>
      <c r="AL31" s="2">
        <v>109.5</v>
      </c>
      <c r="AM31" s="2">
        <v>119.7</v>
      </c>
    </row>
    <row r="32" spans="1:39" x14ac:dyDescent="0.2">
      <c r="A32" s="1">
        <v>1999</v>
      </c>
      <c r="B32" s="2">
        <v>171.7</v>
      </c>
      <c r="C32" s="2">
        <v>103.9</v>
      </c>
      <c r="D32" s="2">
        <v>113.1</v>
      </c>
      <c r="E32" s="2">
        <v>79.599999999999994</v>
      </c>
      <c r="F32" s="2">
        <v>67.8</v>
      </c>
      <c r="G32" s="2">
        <v>72.2</v>
      </c>
      <c r="H32" s="2">
        <v>59.7</v>
      </c>
      <c r="I32" s="2">
        <v>75.099999999999994</v>
      </c>
      <c r="J32" s="2">
        <v>74.7</v>
      </c>
      <c r="K32" s="2">
        <v>86.9</v>
      </c>
      <c r="L32" s="2">
        <v>82.6</v>
      </c>
      <c r="M32" s="2">
        <v>104.8</v>
      </c>
      <c r="N32" s="2">
        <v>43.9</v>
      </c>
      <c r="O32" s="2">
        <v>73.400000000000006</v>
      </c>
      <c r="P32" s="2">
        <v>94.1</v>
      </c>
      <c r="Q32" s="2">
        <v>83.3</v>
      </c>
      <c r="R32" s="2">
        <v>80.7</v>
      </c>
      <c r="S32" s="2">
        <v>102.1</v>
      </c>
      <c r="T32" s="2">
        <v>85.5</v>
      </c>
      <c r="U32" s="2">
        <v>111.4</v>
      </c>
      <c r="V32" s="2">
        <v>86.8</v>
      </c>
      <c r="W32" s="2">
        <v>101</v>
      </c>
      <c r="X32" s="2">
        <v>91.7</v>
      </c>
      <c r="Y32" s="2">
        <v>83.5</v>
      </c>
      <c r="Z32" s="2">
        <v>84.4</v>
      </c>
      <c r="AA32" s="2">
        <v>91.1</v>
      </c>
      <c r="AB32" s="2">
        <v>165.3</v>
      </c>
      <c r="AC32" s="2">
        <v>139.5</v>
      </c>
      <c r="AD32" s="2">
        <v>97.1</v>
      </c>
      <c r="AE32" s="2">
        <v>133.30000000000001</v>
      </c>
      <c r="AF32" s="2">
        <v>104</v>
      </c>
      <c r="AG32" s="2">
        <v>103.9</v>
      </c>
      <c r="AH32" s="2">
        <v>118</v>
      </c>
      <c r="AI32" s="2">
        <v>112.4</v>
      </c>
      <c r="AJ32" s="2">
        <v>109.4</v>
      </c>
      <c r="AK32" s="2">
        <v>100.7</v>
      </c>
      <c r="AL32" s="2">
        <v>104.8</v>
      </c>
      <c r="AM32" s="2">
        <v>115.8</v>
      </c>
    </row>
    <row r="33" spans="1:39" x14ac:dyDescent="0.2">
      <c r="A33" s="1">
        <v>2000</v>
      </c>
      <c r="B33" s="2">
        <v>147.30000000000001</v>
      </c>
      <c r="C33" s="2">
        <v>93.2</v>
      </c>
      <c r="D33" s="2">
        <v>109</v>
      </c>
      <c r="E33" s="2">
        <v>73</v>
      </c>
      <c r="F33" s="2">
        <v>69.3</v>
      </c>
      <c r="G33" s="2">
        <v>70</v>
      </c>
      <c r="H33" s="2">
        <v>53.8</v>
      </c>
      <c r="I33" s="2">
        <v>66.900000000000006</v>
      </c>
      <c r="J33" s="2">
        <v>72.5</v>
      </c>
      <c r="K33" s="2">
        <v>83.1</v>
      </c>
      <c r="L33" s="2">
        <v>75.5</v>
      </c>
      <c r="M33" s="2">
        <v>90.5</v>
      </c>
      <c r="N33" s="2">
        <v>40.700000000000003</v>
      </c>
      <c r="O33" s="2">
        <v>71.400000000000006</v>
      </c>
      <c r="P33" s="2">
        <v>88.9</v>
      </c>
      <c r="Q33" s="2">
        <v>79.8</v>
      </c>
      <c r="R33" s="2">
        <v>76</v>
      </c>
      <c r="S33" s="2">
        <v>96.7</v>
      </c>
      <c r="T33" s="2">
        <v>82.9</v>
      </c>
      <c r="U33" s="2">
        <v>108.9</v>
      </c>
      <c r="V33" s="2">
        <v>77.599999999999994</v>
      </c>
      <c r="W33" s="2">
        <v>104.3</v>
      </c>
      <c r="X33" s="2">
        <v>88.9</v>
      </c>
      <c r="Y33" s="2">
        <v>75.099999999999994</v>
      </c>
      <c r="Z33" s="2">
        <v>80.099999999999994</v>
      </c>
      <c r="AA33" s="2">
        <v>87.9</v>
      </c>
      <c r="AB33" s="2">
        <v>156.19999999999999</v>
      </c>
      <c r="AC33" s="2">
        <v>140.69999999999999</v>
      </c>
      <c r="AD33" s="2">
        <v>88.1</v>
      </c>
      <c r="AE33" s="2">
        <v>125.5</v>
      </c>
      <c r="AF33" s="2">
        <v>99.9</v>
      </c>
      <c r="AG33" s="2">
        <v>97.2</v>
      </c>
      <c r="AH33" s="2">
        <v>113.8</v>
      </c>
      <c r="AI33" s="2">
        <v>107.9</v>
      </c>
      <c r="AJ33" s="2">
        <v>103.9</v>
      </c>
      <c r="AK33" s="2">
        <v>96.2</v>
      </c>
      <c r="AL33" s="2">
        <v>99.4</v>
      </c>
      <c r="AM33" s="2">
        <v>108.7</v>
      </c>
    </row>
    <row r="34" spans="1:39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">
      <c r="A35" s="1" t="s">
        <v>38</v>
      </c>
      <c r="B35" s="2">
        <f t="shared" ref="B35:AM35" si="0">AVERAGE(B3:B18)</f>
        <v>258.33750000000003</v>
      </c>
      <c r="C35" s="2">
        <f t="shared" si="0"/>
        <v>181.85624999999996</v>
      </c>
      <c r="D35" s="2">
        <f t="shared" si="0"/>
        <v>196.03750000000002</v>
      </c>
      <c r="E35" s="2">
        <f t="shared" si="0"/>
        <v>129.11875000000001</v>
      </c>
      <c r="F35" s="2">
        <f t="shared" si="0"/>
        <v>119.56250000000003</v>
      </c>
      <c r="G35" s="2">
        <f t="shared" si="0"/>
        <v>129.86875000000001</v>
      </c>
      <c r="H35" s="2">
        <f t="shared" si="0"/>
        <v>98.09375</v>
      </c>
      <c r="I35" s="2">
        <f t="shared" si="0"/>
        <v>115.90624999999999</v>
      </c>
      <c r="J35" s="2">
        <f t="shared" si="0"/>
        <v>114.52500000000001</v>
      </c>
      <c r="K35" s="2">
        <f t="shared" si="0"/>
        <v>141.79999999999998</v>
      </c>
      <c r="L35" s="2">
        <f t="shared" si="0"/>
        <v>119.17499999999998</v>
      </c>
      <c r="M35" s="2">
        <f t="shared" si="0"/>
        <v>148.56874999999997</v>
      </c>
      <c r="N35" s="2">
        <f t="shared" si="0"/>
        <v>73.243749999999991</v>
      </c>
      <c r="O35" s="2">
        <f t="shared" si="0"/>
        <v>114.53750000000001</v>
      </c>
      <c r="P35" s="2">
        <f t="shared" si="0"/>
        <v>152.07500000000002</v>
      </c>
      <c r="Q35" s="2">
        <f t="shared" si="0"/>
        <v>121.81875000000001</v>
      </c>
      <c r="R35" s="2">
        <f t="shared" si="0"/>
        <v>113.27500000000001</v>
      </c>
      <c r="S35" s="2">
        <f t="shared" si="0"/>
        <v>145.05625000000001</v>
      </c>
      <c r="T35" s="2">
        <f t="shared" si="0"/>
        <v>138.14375000000004</v>
      </c>
      <c r="U35" s="2">
        <f t="shared" si="0"/>
        <v>132.61249999999998</v>
      </c>
      <c r="V35" s="2">
        <f t="shared" si="0"/>
        <v>112.25624999999999</v>
      </c>
      <c r="W35" s="2">
        <f t="shared" si="0"/>
        <v>133.30625000000003</v>
      </c>
      <c r="X35" s="2">
        <f t="shared" si="0"/>
        <v>117.78750000000001</v>
      </c>
      <c r="Y35" s="2">
        <f t="shared" si="0"/>
        <v>109.23125000000002</v>
      </c>
      <c r="Z35" s="2">
        <f t="shared" si="0"/>
        <v>112.11249999999998</v>
      </c>
      <c r="AA35" s="2">
        <f t="shared" si="0"/>
        <v>117.17499999999998</v>
      </c>
      <c r="AB35" s="2">
        <f t="shared" si="0"/>
        <v>202.38749999999999</v>
      </c>
      <c r="AC35" s="2">
        <f t="shared" si="0"/>
        <v>152.08124999999998</v>
      </c>
      <c r="AD35" s="2">
        <f t="shared" si="0"/>
        <v>125.31249999999999</v>
      </c>
      <c r="AE35" s="2">
        <f t="shared" si="0"/>
        <v>149.98125000000005</v>
      </c>
      <c r="AF35" s="2">
        <f t="shared" si="0"/>
        <v>127.11875000000001</v>
      </c>
      <c r="AG35" s="2">
        <f t="shared" si="0"/>
        <v>117.73125</v>
      </c>
      <c r="AH35" s="2">
        <f t="shared" si="0"/>
        <v>134.99374999999998</v>
      </c>
      <c r="AI35" s="2">
        <f t="shared" si="0"/>
        <v>119.9875</v>
      </c>
      <c r="AJ35" s="2">
        <f t="shared" si="0"/>
        <v>129.1875</v>
      </c>
      <c r="AK35" s="2">
        <f t="shared" si="0"/>
        <v>112.03124999999999</v>
      </c>
      <c r="AL35" s="2">
        <f t="shared" si="0"/>
        <v>118.81874999999999</v>
      </c>
      <c r="AM35" s="2">
        <f t="shared" si="0"/>
        <v>120.87500000000001</v>
      </c>
    </row>
    <row r="36" spans="1:39" x14ac:dyDescent="0.2">
      <c r="A36" s="1" t="s">
        <v>39</v>
      </c>
      <c r="B36" s="2">
        <f t="shared" ref="B36:AM36" si="1">AVERAGE(B19:B33)</f>
        <v>164.77333333333337</v>
      </c>
      <c r="C36" s="2">
        <f t="shared" si="1"/>
        <v>116.08</v>
      </c>
      <c r="D36" s="2">
        <f t="shared" si="1"/>
        <v>130.40666666666667</v>
      </c>
      <c r="E36" s="2">
        <f t="shared" si="1"/>
        <v>88.193333333333342</v>
      </c>
      <c r="F36" s="2">
        <f t="shared" si="1"/>
        <v>83.046666666666667</v>
      </c>
      <c r="G36" s="2">
        <f t="shared" si="1"/>
        <v>91.559999999999988</v>
      </c>
      <c r="H36" s="2">
        <f t="shared" si="1"/>
        <v>69.500000000000014</v>
      </c>
      <c r="I36" s="2">
        <f t="shared" si="1"/>
        <v>82.84</v>
      </c>
      <c r="J36" s="2">
        <f t="shared" si="1"/>
        <v>81.946666666666673</v>
      </c>
      <c r="K36" s="2">
        <f t="shared" si="1"/>
        <v>102.50666666666667</v>
      </c>
      <c r="L36" s="2">
        <f t="shared" si="1"/>
        <v>87.006666666666661</v>
      </c>
      <c r="M36" s="2">
        <f t="shared" si="1"/>
        <v>108.64</v>
      </c>
      <c r="N36" s="2">
        <f t="shared" si="1"/>
        <v>53.86</v>
      </c>
      <c r="O36" s="2">
        <f t="shared" si="1"/>
        <v>86.126666666666694</v>
      </c>
      <c r="P36" s="2">
        <f t="shared" si="1"/>
        <v>114.78</v>
      </c>
      <c r="Q36" s="2">
        <f t="shared" si="1"/>
        <v>92.539999999999992</v>
      </c>
      <c r="R36" s="2">
        <f t="shared" si="1"/>
        <v>87.7</v>
      </c>
      <c r="S36" s="2">
        <f t="shared" si="1"/>
        <v>112.81999999999998</v>
      </c>
      <c r="T36" s="2">
        <f t="shared" si="1"/>
        <v>107.74</v>
      </c>
      <c r="U36" s="2">
        <f t="shared" si="1"/>
        <v>103.48</v>
      </c>
      <c r="V36" s="2">
        <f t="shared" si="1"/>
        <v>89.686666666666667</v>
      </c>
      <c r="W36" s="2">
        <f t="shared" si="1"/>
        <v>107.14666666666668</v>
      </c>
      <c r="X36" s="2">
        <f t="shared" si="1"/>
        <v>95.260000000000019</v>
      </c>
      <c r="Y36" s="2">
        <f t="shared" si="1"/>
        <v>90.546666666666653</v>
      </c>
      <c r="Z36" s="2">
        <f t="shared" si="1"/>
        <v>94.253333333333345</v>
      </c>
      <c r="AA36" s="2">
        <f t="shared" si="1"/>
        <v>98.8</v>
      </c>
      <c r="AB36" s="2">
        <f t="shared" si="1"/>
        <v>172.56</v>
      </c>
      <c r="AC36" s="2">
        <f t="shared" si="1"/>
        <v>130.71333333333331</v>
      </c>
      <c r="AD36" s="2">
        <f t="shared" si="1"/>
        <v>109.22666666666666</v>
      </c>
      <c r="AE36" s="2">
        <f t="shared" si="1"/>
        <v>131.82000000000002</v>
      </c>
      <c r="AF36" s="2">
        <f t="shared" si="1"/>
        <v>112.57333333333332</v>
      </c>
      <c r="AG36" s="2">
        <f t="shared" si="1"/>
        <v>106.13333333333334</v>
      </c>
      <c r="AH36" s="2">
        <f t="shared" si="1"/>
        <v>122.03999999999998</v>
      </c>
      <c r="AI36" s="2">
        <f t="shared" si="1"/>
        <v>108.53333333333335</v>
      </c>
      <c r="AJ36" s="2">
        <f t="shared" si="1"/>
        <v>117.1466666666667</v>
      </c>
      <c r="AK36" s="2">
        <f t="shared" si="1"/>
        <v>106.74666666666668</v>
      </c>
      <c r="AL36" s="2">
        <f t="shared" si="1"/>
        <v>114.18</v>
      </c>
      <c r="AM36" s="2">
        <f t="shared" si="1"/>
        <v>119.94666666666669</v>
      </c>
    </row>
    <row r="37" spans="1:39" x14ac:dyDescent="0.2">
      <c r="A37" s="1" t="s">
        <v>40</v>
      </c>
      <c r="B37" s="2">
        <f t="shared" ref="B37:AM37" si="2">(B36-B35)/B35*100</f>
        <v>-36.217802938662274</v>
      </c>
      <c r="C37" s="2">
        <f t="shared" si="2"/>
        <v>-36.169364539299572</v>
      </c>
      <c r="D37" s="2">
        <f t="shared" si="2"/>
        <v>-33.478713681481018</v>
      </c>
      <c r="E37" s="2">
        <f t="shared" si="2"/>
        <v>-31.695951724026649</v>
      </c>
      <c r="F37" s="2">
        <f t="shared" si="2"/>
        <v>-30.541209269907664</v>
      </c>
      <c r="G37" s="2">
        <f t="shared" si="2"/>
        <v>-29.498050916791001</v>
      </c>
      <c r="H37" s="2">
        <f t="shared" si="2"/>
        <v>-29.149410640331304</v>
      </c>
      <c r="I37" s="2">
        <f t="shared" si="2"/>
        <v>-28.528444324615787</v>
      </c>
      <c r="J37" s="2">
        <f t="shared" si="2"/>
        <v>-28.446481845303062</v>
      </c>
      <c r="K37" s="2">
        <f t="shared" si="2"/>
        <v>-27.710390220968485</v>
      </c>
      <c r="L37" s="2">
        <f t="shared" si="2"/>
        <v>-26.992518005733864</v>
      </c>
      <c r="M37" s="2">
        <f t="shared" si="2"/>
        <v>-26.875604728450615</v>
      </c>
      <c r="N37" s="2">
        <f t="shared" si="2"/>
        <v>-26.464715419404378</v>
      </c>
      <c r="O37" s="2">
        <f t="shared" si="2"/>
        <v>-24.8048310233184</v>
      </c>
      <c r="P37" s="2">
        <f t="shared" si="2"/>
        <v>-24.524083511425289</v>
      </c>
      <c r="Q37" s="2">
        <f t="shared" si="2"/>
        <v>-24.034682674054704</v>
      </c>
      <c r="R37" s="2">
        <f t="shared" si="2"/>
        <v>-22.577797395718385</v>
      </c>
      <c r="S37" s="2">
        <f t="shared" si="2"/>
        <v>-22.22327545348789</v>
      </c>
      <c r="T37" s="2">
        <f t="shared" si="2"/>
        <v>-22.008777089082958</v>
      </c>
      <c r="U37" s="2">
        <f t="shared" si="2"/>
        <v>-21.968140258271266</v>
      </c>
      <c r="V37" s="2">
        <f t="shared" si="2"/>
        <v>-20.105413581277951</v>
      </c>
      <c r="W37" s="2">
        <f t="shared" si="2"/>
        <v>-19.623673558691625</v>
      </c>
      <c r="X37" s="2">
        <f t="shared" si="2"/>
        <v>-19.125543881990865</v>
      </c>
      <c r="Y37" s="2">
        <f t="shared" si="2"/>
        <v>-17.105529171673272</v>
      </c>
      <c r="Z37" s="2">
        <f t="shared" si="2"/>
        <v>-15.929683725424587</v>
      </c>
      <c r="AA37" s="2">
        <f t="shared" si="2"/>
        <v>-15.681672711755912</v>
      </c>
      <c r="AB37" s="2">
        <f t="shared" si="2"/>
        <v>-14.737817305910687</v>
      </c>
      <c r="AC37" s="2">
        <f t="shared" si="2"/>
        <v>-14.050329456567903</v>
      </c>
      <c r="AD37" s="2">
        <f t="shared" si="2"/>
        <v>-12.836575228595173</v>
      </c>
      <c r="AE37" s="2">
        <f t="shared" si="2"/>
        <v>-12.109013626703351</v>
      </c>
      <c r="AF37" s="2">
        <f t="shared" si="2"/>
        <v>-11.442384909123698</v>
      </c>
      <c r="AG37" s="2">
        <f t="shared" si="2"/>
        <v>-9.8511794163968052</v>
      </c>
      <c r="AH37" s="2">
        <f t="shared" si="2"/>
        <v>-9.5958146210472712</v>
      </c>
      <c r="AI37" s="2">
        <f t="shared" si="2"/>
        <v>-9.5461332777719772</v>
      </c>
      <c r="AJ37" s="2">
        <f t="shared" si="2"/>
        <v>-9.3204321883566887</v>
      </c>
      <c r="AK37" s="2">
        <f t="shared" si="2"/>
        <v>-4.7170618317061557</v>
      </c>
      <c r="AL37" s="2">
        <f t="shared" si="2"/>
        <v>-3.9040555467886908</v>
      </c>
      <c r="AM37" s="2">
        <f t="shared" si="2"/>
        <v>-0.76801103067907117</v>
      </c>
    </row>
    <row r="38" spans="1:39" x14ac:dyDescent="0.2">
      <c r="A38" s="1" t="s">
        <v>41</v>
      </c>
      <c r="B38" s="1">
        <v>1</v>
      </c>
      <c r="C38" s="1">
        <v>2</v>
      </c>
      <c r="D38" s="1">
        <v>3</v>
      </c>
      <c r="E38" s="1">
        <v>4</v>
      </c>
      <c r="F38" s="1">
        <v>5</v>
      </c>
      <c r="G38" s="1">
        <v>6</v>
      </c>
      <c r="H38" s="1">
        <v>7</v>
      </c>
      <c r="I38" s="1">
        <v>8</v>
      </c>
      <c r="J38" s="1">
        <v>9</v>
      </c>
      <c r="K38" s="1">
        <v>10</v>
      </c>
      <c r="L38" s="1">
        <v>11</v>
      </c>
      <c r="M38" s="1">
        <v>12</v>
      </c>
      <c r="N38" s="1">
        <v>13</v>
      </c>
      <c r="O38" s="1">
        <v>14</v>
      </c>
      <c r="P38" s="1">
        <v>15</v>
      </c>
      <c r="Q38" s="1">
        <v>16</v>
      </c>
      <c r="R38" s="1">
        <v>17</v>
      </c>
      <c r="S38" s="1">
        <v>18</v>
      </c>
      <c r="T38" s="1">
        <v>19</v>
      </c>
      <c r="U38" s="1">
        <v>20</v>
      </c>
      <c r="V38" s="1">
        <v>21</v>
      </c>
      <c r="W38" s="1">
        <v>22</v>
      </c>
      <c r="X38" s="1">
        <v>23</v>
      </c>
      <c r="Y38" s="1">
        <v>24</v>
      </c>
      <c r="Z38" s="1">
        <v>25</v>
      </c>
      <c r="AA38" s="1">
        <v>26</v>
      </c>
      <c r="AB38" s="1">
        <v>27</v>
      </c>
      <c r="AC38" s="1">
        <v>28</v>
      </c>
      <c r="AD38" s="1">
        <v>29</v>
      </c>
      <c r="AE38" s="1">
        <v>30</v>
      </c>
      <c r="AF38" s="1">
        <v>31</v>
      </c>
      <c r="AG38" s="1">
        <v>32</v>
      </c>
      <c r="AH38" s="1">
        <v>33</v>
      </c>
      <c r="AI38" s="1">
        <v>34</v>
      </c>
      <c r="AJ38" s="1">
        <v>35</v>
      </c>
      <c r="AK38" s="1">
        <v>36</v>
      </c>
      <c r="AL38" s="1">
        <v>37</v>
      </c>
      <c r="AM38" s="1">
        <v>38</v>
      </c>
    </row>
    <row r="39" spans="1:39" x14ac:dyDescent="0.2">
      <c r="A39" s="1" t="s">
        <v>42</v>
      </c>
      <c r="B39" s="1" t="s">
        <v>43</v>
      </c>
      <c r="C39" s="1" t="s">
        <v>43</v>
      </c>
      <c r="D39" s="1" t="s">
        <v>43</v>
      </c>
      <c r="E39" s="1" t="s">
        <v>43</v>
      </c>
      <c r="F39" s="1" t="s">
        <v>43</v>
      </c>
      <c r="G39" s="1" t="s">
        <v>43</v>
      </c>
      <c r="H39" s="1" t="s">
        <v>43</v>
      </c>
      <c r="I39" s="1" t="s">
        <v>43</v>
      </c>
      <c r="J39" s="1" t="s">
        <v>43</v>
      </c>
      <c r="K39" s="1" t="s">
        <v>43</v>
      </c>
      <c r="L39" s="1" t="s">
        <v>43</v>
      </c>
      <c r="M39" s="1" t="s">
        <v>43</v>
      </c>
      <c r="N39" s="1" t="s">
        <v>43</v>
      </c>
      <c r="O39" s="1" t="s">
        <v>43</v>
      </c>
      <c r="P39" s="1" t="s">
        <v>43</v>
      </c>
      <c r="Q39" s="1" t="s">
        <v>43</v>
      </c>
      <c r="R39" s="1" t="s">
        <v>43</v>
      </c>
      <c r="S39" s="1" t="s">
        <v>43</v>
      </c>
      <c r="T39" s="1" t="s">
        <v>43</v>
      </c>
      <c r="U39" s="1" t="s">
        <v>43</v>
      </c>
      <c r="V39" s="1" t="s">
        <v>44</v>
      </c>
      <c r="W39" s="1" t="s">
        <v>44</v>
      </c>
      <c r="X39" s="1" t="s">
        <v>44</v>
      </c>
      <c r="Y39" s="1" t="s">
        <v>44</v>
      </c>
      <c r="Z39" s="1" t="s">
        <v>44</v>
      </c>
      <c r="AA39" s="1" t="s">
        <v>44</v>
      </c>
      <c r="AB39" s="1" t="s">
        <v>45</v>
      </c>
      <c r="AC39" s="1" t="s">
        <v>45</v>
      </c>
      <c r="AD39" s="1" t="s">
        <v>45</v>
      </c>
      <c r="AE39" s="1" t="s">
        <v>45</v>
      </c>
      <c r="AF39" s="1" t="s">
        <v>45</v>
      </c>
      <c r="AG39" s="1" t="s">
        <v>45</v>
      </c>
      <c r="AH39" s="1" t="s">
        <v>46</v>
      </c>
      <c r="AI39" s="1" t="s">
        <v>46</v>
      </c>
      <c r="AJ39" s="1" t="s">
        <v>46</v>
      </c>
      <c r="AK39" s="1" t="s">
        <v>46</v>
      </c>
      <c r="AL39" s="1" t="s">
        <v>46</v>
      </c>
      <c r="AM39" s="1" t="s">
        <v>46</v>
      </c>
    </row>
    <row r="45" spans="1:39" x14ac:dyDescent="0.2">
      <c r="AK45" s="3"/>
    </row>
    <row r="46" spans="1:39" x14ac:dyDescent="0.2">
      <c r="AK46" s="3"/>
    </row>
    <row r="47" spans="1:39" x14ac:dyDescent="0.2">
      <c r="AK47" s="3"/>
    </row>
    <row r="48" spans="1:39" x14ac:dyDescent="0.2">
      <c r="AK48" s="3"/>
    </row>
  </sheetData>
  <pageMargins left="0.7" right="0.7" top="0.75" bottom="0.75" header="0.3" footer="0.3"/>
  <ignoredErrors>
    <ignoredError sqref="B35:AM3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matlab_new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2024-06-17T20:44:17Z</dcterms:created>
  <dcterms:modified xsi:type="dcterms:W3CDTF">2024-06-17T20:58:48Z</dcterms:modified>
</cp:coreProperties>
</file>